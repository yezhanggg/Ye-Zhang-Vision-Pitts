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onPitts Summary" sheetId="1" state="visible" r:id="rId3"/>
    <sheet name="Data Catalog" sheetId="2" state="visible" r:id="rId4"/>
    <sheet name="Read Me" sheetId="3" state="visible" r:id="rId5"/>
    <sheet name="Brief Source Map" sheetId="4" state="visible" r:id="rId6"/>
    <sheet name="VisionPitts Lay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<sst xmlns="http://schemas.openxmlformats.org/spreadsheetml/2006/main" count="2153" uniqueCount="1151">
  <si>
    <t xml:space="preserve">VisionPitts master data list — summary</t>
  </si>
  <si>
    <t xml:space="preserve">Counts update automatically from the 'Data Catalog' sheet (columns O–P). Updated 2026-09-26.</t>
  </si>
  <si>
    <t xml:space="preserve">VisionPitts status</t>
  </si>
  <si>
    <t xml:space="preserve">Organizers' catalog</t>
  </si>
  <si>
    <t xml:space="preserve">Added by VisionPitts</t>
  </si>
  <si>
    <t xml:space="preserve">Total</t>
  </si>
  <si>
    <t xml:space="preserve">In use</t>
  </si>
  <si>
    <t xml:space="preserve">Partial</t>
  </si>
  <si>
    <t xml:space="preserve">On disk (unused)</t>
  </si>
  <si>
    <t xml:space="preserve">Verified, not ingested</t>
  </si>
  <si>
    <t xml:space="preserve">Not yet</t>
  </si>
  <si>
    <t xml:space="preserve">Not relevant</t>
  </si>
  <si>
    <t xml:space="preserve">Share of all sources in use</t>
  </si>
  <si>
    <t xml:space="preserve">Sources in use or partial</t>
  </si>
  <si>
    <t xml:space="preserve">Status key</t>
  </si>
  <si>
    <t xml:space="preserve">In use = feeds the dashboard or a built layer · Partial = partly used or a substitute is used · On disk (unused) = downloaded but not used · Verified, not ingested = link checked live 2026-09-24/26, ready for the data terminal · Not yet = not investigated · Not relevant = outside Track 3 scope.</t>
  </si>
  <si>
    <t xml:space="preserve">Where detail lives</t>
  </si>
  <si>
    <t xml:space="preserve">Pipeline registry: data/sources.md · Built layers: 'VisionPitts Layers' sheet and handoff/web-claude/DELIVERED.md · Discovery (~200 sources): docs/data/discovery/DATA_DISCOVERY.md · Files on disk: handoff/web-claude/INVENTORY.md.</t>
  </si>
  <si>
    <t xml:space="preserve">Original file</t>
  </si>
  <si>
    <t xml:space="preserve">The organizers' version is preserved at data/raw/AI Hackathon for Housing — Public Data Catalog (original 2026-09-26).xlsx.</t>
  </si>
  <si>
    <t xml:space="preserve">Priority</t>
  </si>
  <si>
    <t xml:space="preserve">Category</t>
  </si>
  <si>
    <t xml:space="preserve">Data source</t>
  </si>
  <si>
    <t xml:space="preserve">Provider / steward</t>
  </si>
  <si>
    <t xml:space="preserve">Provider type</t>
  </si>
  <si>
    <t xml:space="preserve">Geographic coverage</t>
  </si>
  <si>
    <t xml:space="preserve">Granularity</t>
  </si>
  <si>
    <t xml:space="preserve">Access / format</t>
  </si>
  <si>
    <t xml:space="preserve">Typical update</t>
  </si>
  <si>
    <t xml:space="preserve">Primary hackathon uses</t>
  </si>
  <si>
    <t xml:space="preserve">Relevant problem briefs</t>
  </si>
  <si>
    <t xml:space="preserve">Likely join key</t>
  </si>
  <si>
    <t xml:space="preserve">URL</t>
  </si>
  <si>
    <t xml:space="preserve">Caveats / licensing notes</t>
  </si>
  <si>
    <t xml:space="preserve">Origin</t>
  </si>
  <si>
    <t xml:space="preserve">Local path / output</t>
  </si>
  <si>
    <t xml:space="preserve">Vintage in use</t>
  </si>
  <si>
    <t xml:space="preserve">Tract-level?</t>
  </si>
  <si>
    <t xml:space="preserve">VisionPitts notes</t>
  </si>
  <si>
    <t xml:space="preserve">Core</t>
  </si>
  <si>
    <t xml:space="preserve">Property &amp; parcels</t>
  </si>
  <si>
    <t xml:space="preserve">Allegheny County Property Assessments</t>
  </si>
  <si>
    <t xml:space="preserve">Allegheny County / WPRDC</t>
  </si>
  <si>
    <t xml:space="preserve">Public</t>
  </si>
  <si>
    <t xml:space="preserve">Allegheny County</t>
  </si>
  <si>
    <t xml:space="preserve">Parcel</t>
  </si>
  <si>
    <t xml:space="preserve">Open download; CSV/API</t>
  </si>
  <si>
    <t xml:space="preserve">Daily/periodic</t>
  </si>
  <si>
    <t xml:space="preserve">Parcel characteristics, assessed land/building values, exemptions, feasibility screening</t>
  </si>
  <si>
    <t xml:space="preserve">Feasibility; Typology &amp; Climate</t>
  </si>
  <si>
    <t xml:space="preserve">Block and lot / parcel ID</t>
  </si>
  <si>
    <t xml:space="preserve">https://data.wprdc.org/dataset/property-assessments</t>
  </si>
  <si>
    <t xml:space="preserve">Assessment fields can be stale or missing; do not treat assessed value as market value.</t>
  </si>
  <si>
    <t xml:space="preserve">data/external/parcels/assessments.csv</t>
  </si>
  <si>
    <t xml:space="preserve">2026</t>
  </si>
  <si>
    <t xml:space="preserve">via parcel join</t>
  </si>
  <si>
    <t xml:space="preserve">STORIES/YEARBLT drive 3D building heights (fetch_buildings.py).</t>
  </si>
  <si>
    <t xml:space="preserve">Allegheny County Property Sale Transactions</t>
  </si>
  <si>
    <t xml:space="preserve">Transaction / parcel</t>
  </si>
  <si>
    <t xml:space="preserve">Daily</t>
  </si>
  <si>
    <t xml:space="preserve">Comparable sales, price trends, calibration, neighborhood demand</t>
  </si>
  <si>
    <t xml:space="preserve">Feasibility; Observatory</t>
  </si>
  <si>
    <t xml:space="preserve">Parcel ID; sale date; deed reference</t>
  </si>
  <si>
    <t xml:space="preserve">https://data.wprdc.org/dataset/allegheny-county-property-sale-transactions</t>
  </si>
  <si>
    <t xml:space="preserve">Filter using sale-validation codes; many nominal transfers are not arm’s-length sales.</t>
  </si>
  <si>
    <t xml:space="preserve">99,176 arm's-length (VALID SALE) records 2012–2026; P1 price-trend signal.</t>
  </si>
  <si>
    <t xml:space="preserve">Allegheny County Parcel Boundaries</t>
  </si>
  <si>
    <t xml:space="preserve">Allegheny County GIS / WPRDC</t>
  </si>
  <si>
    <t xml:space="preserve">Parcel polygon</t>
  </si>
  <si>
    <t xml:space="preserve">Open GIS download; GeoJSON/SHP/API</t>
  </si>
  <si>
    <t xml:space="preserve">Periodic</t>
  </si>
  <si>
    <t xml:space="preserve">Map parcels, calculate lot area, spatially join zoning and hazards</t>
  </si>
  <si>
    <t xml:space="preserve">All briefs</t>
  </si>
  <si>
    <t xml:space="preserve">Parcel ID</t>
  </si>
  <si>
    <t xml:space="preserve">https://data.wprdc.org/dataset/allegheny-county-parcel-boundaries</t>
  </si>
  <si>
    <t xml:space="preserve">Geometry and assessment records may update on different schedules; validate parcel IDs.</t>
  </si>
  <si>
    <t xml:space="preserve">data/external/parcels/alleghenycounty_parcels202609.geojson</t>
  </si>
  <si>
    <t xml:space="preserve">2026-09</t>
  </si>
  <si>
    <t xml:space="preserve">via spatial join</t>
  </si>
  <si>
    <t xml:space="preserve">Building → parcel → assessment join for heights.</t>
  </si>
  <si>
    <t xml:space="preserve">Allegheny County GIS Open Data Portal</t>
  </si>
  <si>
    <t xml:space="preserve">Varies: parcel to county</t>
  </si>
  <si>
    <t xml:space="preserve">ArcGIS Hub downloads and services</t>
  </si>
  <si>
    <t xml:space="preserve">Varies</t>
  </si>
  <si>
    <t xml:space="preserve">Discover authoritative county boundaries, land use, infrastructure, hazards, and administrative layers</t>
  </si>
  <si>
    <t xml:space="preserve">Parcel ID; GEOID; spatial join</t>
  </si>
  <si>
    <t xml:space="preserve">https://openac-alcogis.opendata.arcgis.com/</t>
  </si>
  <si>
    <t xml:space="preserve">Portal is a catalog; inspect metadata and update dates for each layer.</t>
  </si>
  <si>
    <t xml:space="preserve">varies</t>
  </si>
  <si>
    <t xml:space="preserve">Catalog portal; individual layers listed separately.</t>
  </si>
  <si>
    <t xml:space="preserve">Permits &amp; development</t>
  </si>
  <si>
    <t xml:space="preserve">PLI Permits</t>
  </si>
  <si>
    <t xml:space="preserve">City of Pittsburgh / WPRDC</t>
  </si>
  <si>
    <t xml:space="preserve">City of Pittsburgh</t>
  </si>
  <si>
    <t xml:space="preserve">Permit / address</t>
  </si>
  <si>
    <t xml:space="preserve">Open download; CSV/GeoJSON/API</t>
  </si>
  <si>
    <t xml:space="preserve">Project pipeline, permit type, status, processing-time analysis</t>
  </si>
  <si>
    <t xml:space="preserve">Feasibility; Permit Navigator; Observatory</t>
  </si>
  <si>
    <t xml:space="preserve">Address; parcel ID where available; permit ID</t>
  </si>
  <si>
    <t xml:space="preserve">https://data.wprdc.org/dataset/pli-permits</t>
  </si>
  <si>
    <t xml:space="preserve">Current series begins in 2019; project-level unit counts may require parsing or linkage.</t>
  </si>
  <si>
    <t xml:space="preserve">data/processed/permits.parquet, permits_by_year.parquet</t>
  </si>
  <si>
    <t xml:space="preserve">2019-06 → 2026</t>
  </si>
  <si>
    <t xml:space="preserve">yes (point-in-tract)</t>
  </si>
  <si>
    <t xml:space="preserve">D8: new-residential and demolition permits by tract-year; city only; no unit-count field.</t>
  </si>
  <si>
    <t xml:space="preserve">Historical PLI Permits</t>
  </si>
  <si>
    <t xml:space="preserve">Open download; spreadsheet</t>
  </si>
  <si>
    <t xml:space="preserve">Historical archive</t>
  </si>
  <si>
    <t xml:space="preserve">Long-run permitting trends and before/after policy comparisons</t>
  </si>
  <si>
    <t xml:space="preserve">Permit Navigator; Observatory</t>
  </si>
  <si>
    <t xml:space="preserve">Address; permit ID</t>
  </si>
  <si>
    <t xml:space="preserve">Older records use different schemas and may need normalization.</t>
  </si>
  <si>
    <t xml:space="preserve">no</t>
  </si>
  <si>
    <t xml:space="preserve">Monthly summaries 2015–18 not joinable to tracts.</t>
  </si>
  <si>
    <t xml:space="preserve">PLI / DOMI / Environmental Services Violations</t>
  </si>
  <si>
    <t xml:space="preserve">Violation / address</t>
  </si>
  <si>
    <t xml:space="preserve">Open download; CSV/GeoJSON</t>
  </si>
  <si>
    <t xml:space="preserve">Property condition, code-enforcement patterns, completeness and risk flags</t>
  </si>
  <si>
    <t xml:space="preserve">Address; parcel ID where available</t>
  </si>
  <si>
    <t xml:space="preserve">https://data.wprdc.org/dataset/pittsburgh-pli-violations-report</t>
  </si>
  <si>
    <t xml:space="preserve">Multiple departments share the feed; interpret status and closure fields carefully.</t>
  </si>
  <si>
    <t xml:space="preserve">via address/parcel</t>
  </si>
  <si>
    <t xml:space="preserve">Useful</t>
  </si>
  <si>
    <t xml:space="preserve">Condemned and Dead-End Properties</t>
  </si>
  <si>
    <t xml:space="preserve">Property / address</t>
  </si>
  <si>
    <t xml:space="preserve">Frequent</t>
  </si>
  <si>
    <t xml:space="preserve">Identify distressed stock, redevelopment candidates, and ownership barriers</t>
  </si>
  <si>
    <t xml:space="preserve">Address; parcel ID</t>
  </si>
  <si>
    <t xml:space="preserve">https://data.wprdc.org/dataset/condemned-properties</t>
  </si>
  <si>
    <t xml:space="preserve">Condemnation does not establish demolition feasibility or site availability.</t>
  </si>
  <si>
    <t xml:space="preserve">via parcel</t>
  </si>
  <si>
    <t xml:space="preserve">Distress signal for 'stabilize failing stock' list (P1).</t>
  </si>
  <si>
    <t xml:space="preserve">Zoning &amp; policy</t>
  </si>
  <si>
    <t xml:space="preserve">Pittsburgh Zoning Districts</t>
  </si>
  <si>
    <t xml:space="preserve">Zoning polygon</t>
  </si>
  <si>
    <t xml:space="preserve">Open GIS download; CSV/GeoJSON/SHP</t>
  </si>
  <si>
    <t xml:space="preserve">Determine base zoning and spatially screen allowed development</t>
  </si>
  <si>
    <t xml:space="preserve">Feasibility; Permit Navigator; Typology &amp; Climate</t>
  </si>
  <si>
    <t xml:space="preserve">Spatial join; zoning code</t>
  </si>
  <si>
    <t xml:space="preserve">https://data.wprdc.org/dataset/pittsburgh-zoning</t>
  </si>
  <si>
    <t xml:space="preserve">Map alone is insufficient: overlays, definitions, exceptions, and review rules matter.</t>
  </si>
  <si>
    <t xml:space="preserve">current (edited 2026-09-22)</t>
  </si>
  <si>
    <t xml:space="preserve">via area share</t>
  </si>
  <si>
    <t xml:space="preserve">P0: fills 'Can it be built here?'; 1,069 polygons; draft district→typology matrix in docs/data/discovery/01.</t>
  </si>
  <si>
    <t xml:space="preserve">Pittsburgh Zoning Code</t>
  </si>
  <si>
    <t xml:space="preserve">Legal text / section</t>
  </si>
  <si>
    <t xml:space="preserve">Public website</t>
  </si>
  <si>
    <t xml:space="preserve">As amended</t>
  </si>
  <si>
    <t xml:space="preserve">Retrieve and cite permitted uses, dimensional standards, parking, reviews, and definitions</t>
  </si>
  <si>
    <t xml:space="preserve">Zoning district; section number</t>
  </si>
  <si>
    <t xml:space="preserve">https://pittsburghpa.gov/dcp/zoning-code</t>
  </si>
  <si>
    <t xml:space="preserve">Authoritative interpretation belongs to the City; models must cite sections and flag ambiguity.</t>
  </si>
  <si>
    <t xml:space="preserve">docs/data/discovery/01_land_zoning_development.md</t>
  </si>
  <si>
    <t xml:space="preserve">Use Table §911.02 (2024)</t>
  </si>
  <si>
    <t xml:space="preserve">n/a</t>
  </si>
  <si>
    <t xml:space="preserve">Draft typology permissions with citations; City Zoning Administrator is authoritative. Bill 2025-1545 (ADU by right) pending.</t>
  </si>
  <si>
    <t xml:space="preserve">Pittsburgh Zoning Board of Adjustment Decisions</t>
  </si>
  <si>
    <t xml:space="preserve">Case / parcel / decision</t>
  </si>
  <si>
    <t xml:space="preserve">Public agendas, decisions, and records</t>
  </si>
  <si>
    <t xml:space="preserve">Ongoing</t>
  </si>
  <si>
    <t xml:space="preserve">Train retrieval tools; identify common variances, conditions, and bottlenecks</t>
  </si>
  <si>
    <t xml:space="preserve">Feasibility; Permit Navigator</t>
  </si>
  <si>
    <t xml:space="preserve">Case number; address; parcel ID</t>
  </si>
  <si>
    <t xml:space="preserve">https://pittsburghpa.gov/dcp/zba</t>
  </si>
  <si>
    <t xml:space="preserve">Documents may be PDFs and inconsistent over time; outcomes require careful extraction.</t>
  </si>
  <si>
    <t xml:space="preserve">Pennsylvania Municipal Codes</t>
  </si>
  <si>
    <t xml:space="preserve">General Code / municipal publishers</t>
  </si>
  <si>
    <t xml:space="preserve">Private publisher, public access</t>
  </si>
  <si>
    <t xml:space="preserve">Pennsylvania municipalities</t>
  </si>
  <si>
    <t xml:space="preserve">Municipal code / section</t>
  </si>
  <si>
    <t xml:space="preserve">Public web access</t>
  </si>
  <si>
    <t xml:space="preserve">Varies by municipality</t>
  </si>
  <si>
    <t xml:space="preserve">Compare zoning and permitting requirements across Allegheny County jurisdictions</t>
  </si>
  <si>
    <t xml:space="preserve">Permit Navigator; Typology &amp; Climate</t>
  </si>
  <si>
    <t xml:space="preserve">Municipality; chapter; section</t>
  </si>
  <si>
    <t xml:space="preserve">https://www.generalcode.com/library/pa</t>
  </si>
  <si>
    <t xml:space="preserve">Coverage and update timing vary; some municipalities use other publishers or PDF ordinances.</t>
  </si>
  <si>
    <t xml:space="preserve">No county-wide compiled zoning layer exists; suburbs shown as 'municipal ordinance, not scored'.</t>
  </si>
  <si>
    <t xml:space="preserve">Housing production</t>
  </si>
  <si>
    <t xml:space="preserve">Pittsburgh Development / Permit Records via OneStopPGH</t>
  </si>
  <si>
    <t xml:space="preserve">Application / permit / address</t>
  </si>
  <si>
    <t xml:space="preserve">Public search portal</t>
  </si>
  <si>
    <t xml:space="preserve">Validate current case status and inspect project documents</t>
  </si>
  <si>
    <t xml:space="preserve">Application number; address</t>
  </si>
  <si>
    <t xml:space="preserve">https://onestoppgh.pittsburghpa.gov/</t>
  </si>
  <si>
    <t xml:space="preserve">Interactive portal is not necessarily suitable for bulk extraction; respect terms and rate limits.</t>
  </si>
  <si>
    <t xml:space="preserve">Portal; not for bulk extraction.</t>
  </si>
  <si>
    <t xml:space="preserve">City-Owned Properties</t>
  </si>
  <si>
    <t xml:space="preserve">Parcel / property</t>
  </si>
  <si>
    <t xml:space="preserve">Open download; CSV/XLSX</t>
  </si>
  <si>
    <t xml:space="preserve">Public-land pipeline, redevelopment opportunities, disposition analysis</t>
  </si>
  <si>
    <t xml:space="preserve">Parcel ID; address</t>
  </si>
  <si>
    <t xml:space="preserve">https://data.wprdc.org/dataset/city-owned-properties</t>
  </si>
  <si>
    <t xml:space="preserve">Ownership and availability are different; verify disposition status.</t>
  </si>
  <si>
    <t xml:space="preserve">11,375 City-owned vacant parcels in City parcel layer (P0 land-supply).</t>
  </si>
  <si>
    <t xml:space="preserve">City of Pittsburgh Property Tax Abatements</t>
  </si>
  <si>
    <t xml:space="preserve">Property / abatement</t>
  </si>
  <si>
    <t xml:space="preserve">Map incentives, estimate policy reach, link to production outcomes</t>
  </si>
  <si>
    <t xml:space="preserve">https://data.wprdc.org/dataset/city-of-pittsburgh-property-tax-abatements</t>
  </si>
  <si>
    <t xml:space="preserve">Program rules and valuation fields can change; distinguish approval from realized benefit.</t>
  </si>
  <si>
    <t xml:space="preserve">Regional housing needs</t>
  </si>
  <si>
    <t xml:space="preserve">Allegheny County Housing Needs Assessment</t>
  </si>
  <si>
    <t xml:space="preserve">Allegheny County; 13 subregions</t>
  </si>
  <si>
    <t xml:space="preserve">Subregion / indicator</t>
  </si>
  <si>
    <t xml:space="preserve">Public report and data products</t>
  </si>
  <si>
    <t xml:space="preserve">Baseline needs, affordability, demand, supply gaps, and equity context</t>
  </si>
  <si>
    <t xml:space="preserve">Observatory; Typology &amp; Climate</t>
  </si>
  <si>
    <t xml:space="preserve">Subregion; municipality</t>
  </si>
  <si>
    <t xml:space="preserve">https://www.alleghenycounty.us/Services/Housing/Housing-Needs-Assessment</t>
  </si>
  <si>
    <t xml:space="preserve">Useful baseline but too aggregated for parcel-level prototypes; document vintage.</t>
  </si>
  <si>
    <t xml:space="preserve">County's first HNA ordered by Feb 2026 'Housing for All' EO; City HNA 2022 exists.</t>
  </si>
  <si>
    <t xml:space="preserve">Demographics &amp; housing</t>
  </si>
  <si>
    <t xml:space="preserve">American Community Survey 5-Year</t>
  </si>
  <si>
    <t xml:space="preserve">U.S. Census Bureau</t>
  </si>
  <si>
    <t xml:space="preserve">United States</t>
  </si>
  <si>
    <t xml:space="preserve">Block group, tract, place, county and more</t>
  </si>
  <si>
    <t xml:space="preserve">API and downloads</t>
  </si>
  <si>
    <t xml:space="preserve">Annual</t>
  </si>
  <si>
    <t xml:space="preserve">Income, household size, tenure, rent, value, vacancy, commuting, demographics</t>
  </si>
  <si>
    <t xml:space="preserve">GEOID</t>
  </si>
  <si>
    <t xml:space="preserve">https://www.census.gov/data/developers/data-sets/acs-5year.html</t>
  </si>
  <si>
    <t xml:space="preserve">Estimates have margins of error; avoid false precision for small areas.</t>
  </si>
  <si>
    <t xml:space="preserve">data/processed/tracts_acs.parquet; profile_change.parquet</t>
  </si>
  <si>
    <t xml:space="preserve">2020–24 and 2009–13 vs 2019–23</t>
  </si>
  <si>
    <t xml:space="preserve">yes</t>
  </si>
  <si>
    <t xml:space="preserve">Context stats with MOE/CV; D8 ten-year change with significance flags.</t>
  </si>
  <si>
    <t xml:space="preserve">Decennial Census</t>
  </si>
  <si>
    <t xml:space="preserve">Block to nation</t>
  </si>
  <si>
    <t xml:space="preserve">Every 10 years</t>
  </si>
  <si>
    <t xml:space="preserve">Population, households, occupancy, race/ethnicity, baseline small-area counts</t>
  </si>
  <si>
    <t xml:space="preserve">https://www.census.gov/programs-surveys/decennial-census/data.html</t>
  </si>
  <si>
    <t xml:space="preserve">Limited socioeconomic detail compared with ACS; geography changes complicate time series.</t>
  </si>
  <si>
    <t xml:space="preserve">data/external/crosswalks/tiger/tl_2020_42_tabblock20.zip</t>
  </si>
  <si>
    <t xml:space="preserve">2020</t>
  </si>
  <si>
    <t xml:space="preserve">Block HOUSING20 for crosswalk weights; DHC H4 renter units for eviction ZIP→tract spread.</t>
  </si>
  <si>
    <t xml:space="preserve">Geographic reference</t>
  </si>
  <si>
    <t xml:space="preserve">TIGER/Line Shapefiles</t>
  </si>
  <si>
    <t xml:space="preserve">Blocks, tracts, roads, places and more</t>
  </si>
  <si>
    <t xml:space="preserve">Shapefile downloads</t>
  </si>
  <si>
    <t xml:space="preserve">Geographic boundaries and crosswalks for Census and administrative data</t>
  </si>
  <si>
    <t xml:space="preserve">https://www.census.gov/geographies/mapping-files/time-series/geo/tiger-line-file.html</t>
  </si>
  <si>
    <t xml:space="preserve">Boundary vintages must match the statistics being joined.</t>
  </si>
  <si>
    <t xml:space="preserve">data/external/boundaries/, tiger_cache/</t>
  </si>
  <si>
    <t xml:space="preserve">2023 (pinned), 2020, 2010</t>
  </si>
  <si>
    <t xml:space="preserve">Tracts, BGs, places, PUMAs, county subdivisions, ZCTAs.</t>
  </si>
  <si>
    <t xml:space="preserve">Affordability</t>
  </si>
  <si>
    <t xml:space="preserve">Comprehensive Housing Affordability Strategy (CHAS)</t>
  </si>
  <si>
    <t xml:space="preserve">HUD</t>
  </si>
  <si>
    <t xml:space="preserve">Custom geography; tract for selected tables</t>
  </si>
  <si>
    <t xml:space="preserve">Downloads / query tools</t>
  </si>
  <si>
    <t xml:space="preserve">Cost burden, housing problems, tenure, household type, and HUD income bands</t>
  </si>
  <si>
    <t xml:space="preserve">https://www.huduser.gov/portal/datasets/cp.html</t>
  </si>
  <si>
    <t xml:space="preserve">Based on multi-year ACS data; releases lag and tables are complex.</t>
  </si>
  <si>
    <t xml:space="preserve">data/external/benchmark/chas/table8_42003.parquet</t>
  </si>
  <si>
    <t xml:space="preserve">2018–22</t>
  </si>
  <si>
    <t xml:space="preserve">Table 8 → need (renters ≤50% AMI) and cost burden in displacement risk.</t>
  </si>
  <si>
    <t xml:space="preserve">Location Affordability Index</t>
  </si>
  <si>
    <t xml:space="preserve">HUD / DOT</t>
  </si>
  <si>
    <t xml:space="preserve">Block group / tract</t>
  </si>
  <si>
    <t xml:space="preserve">Open GIS download</t>
  </si>
  <si>
    <t xml:space="preserve">Combined housing and transportation cost scenarios</t>
  </si>
  <si>
    <t xml:space="preserve">Typology &amp; Climate; Observatory</t>
  </si>
  <si>
    <t xml:space="preserve">https://hudgis-hud.opendata.arcgis.com/datasets/c1c32742599a42c9a45c95be50ed2ab6_12/about</t>
  </si>
  <si>
    <t xml:space="preserve">Modeled estimates depend on household profiles and vintage; not observed household spending.</t>
  </si>
  <si>
    <t xml:space="preserve">Track 3 core gap (transport cost / carbon story).</t>
  </si>
  <si>
    <t xml:space="preserve">Fair Market Rents and Small Area FMRs</t>
  </si>
  <si>
    <t xml:space="preserve">Metro / county; ZIP for SAFMR</t>
  </si>
  <si>
    <t xml:space="preserve">Downloads / API</t>
  </si>
  <si>
    <t xml:space="preserve">Rent benchmarks, voucher payment standards, preliminary pro formas</t>
  </si>
  <si>
    <t xml:space="preserve">FIPS; ZIP</t>
  </si>
  <si>
    <t xml:space="preserve">https://www.huduser.gov/portal/datasets/fmr.html</t>
  </si>
  <si>
    <t xml:space="preserve">Regulatory benchmarks, not direct measures of asking or contract rents.</t>
  </si>
  <si>
    <t xml:space="preserve">web/src/data/income_limits.json</t>
  </si>
  <si>
    <t xml:space="preserve">FY2026</t>
  </si>
  <si>
    <t xml:space="preserve">metro</t>
  </si>
  <si>
    <t xml:space="preserve">D4: 2BR FMR $1,299 (Pittsburgh HMFA).</t>
  </si>
  <si>
    <t xml:space="preserve">HUD Income Limits</t>
  </si>
  <si>
    <t xml:space="preserve">Metro / county / family size</t>
  </si>
  <si>
    <t xml:space="preserve">Affordable-rent calculations and household eligibility thresholds</t>
  </si>
  <si>
    <t xml:space="preserve">HUD area; family size</t>
  </si>
  <si>
    <t xml:space="preserve">https://www.huduser.gov/portal/datasets/il.html</t>
  </si>
  <si>
    <t xml:space="preserve">Use the correct program year and household-size adjustment.</t>
  </si>
  <si>
    <t xml:space="preserve">D4: 50% AMI $55,200 (family of 4); MFI $110,400.</t>
  </si>
  <si>
    <t xml:space="preserve">Subsidized housing</t>
  </si>
  <si>
    <t xml:space="preserve">Low-Income Housing Tax Credit Database</t>
  </si>
  <si>
    <t xml:space="preserve">Project / building</t>
  </si>
  <si>
    <t xml:space="preserve">Downloadable database and GIS</t>
  </si>
  <si>
    <t xml:space="preserve">Locate LIHTC stock, placed-in-service dates, units, and preservation needs</t>
  </si>
  <si>
    <t xml:space="preserve">Project ID; address; coordinates</t>
  </si>
  <si>
    <t xml:space="preserve">https://www.huduser.gov/portal/datasets/lihtc.html</t>
  </si>
  <si>
    <t xml:space="preserve">Some project attributes and geocodes are missing or approximate.</t>
  </si>
  <si>
    <t xml:space="preserve">HUD layer (no PIS after 2019)</t>
  </si>
  <si>
    <t xml:space="preserve">via point</t>
  </si>
  <si>
    <t xml:space="preserve">215 Allegheny projects, 7,378 LI units; P0 existing affordable stock layer.</t>
  </si>
  <si>
    <t xml:space="preserve">National Housing Preservation Database</t>
  </si>
  <si>
    <t xml:space="preserve">Public and Affordable Housing Research Corporation / NLIHC</t>
  </si>
  <si>
    <t xml:space="preserve">Nonprofit, public registration</t>
  </si>
  <si>
    <t xml:space="preserve">Subsidized property</t>
  </si>
  <si>
    <t xml:space="preserve">Download after registration</t>
  </si>
  <si>
    <t xml:space="preserve">Preservation risk, subsidy expirations, affordable housing inventory</t>
  </si>
  <si>
    <t xml:space="preserve">NHPD property ID; address</t>
  </si>
  <si>
    <t xml:space="preserve">https://preservationdatabase.org/</t>
  </si>
  <si>
    <t xml:space="preserve">Free access may require registration and agreement to terms.</t>
  </si>
  <si>
    <t xml:space="preserve">Registration required.</t>
  </si>
  <si>
    <t xml:space="preserve">Vacancy &amp; distress</t>
  </si>
  <si>
    <t xml:space="preserve">USPS Vacancy Data</t>
  </si>
  <si>
    <t xml:space="preserve">HUD / USPS</t>
  </si>
  <si>
    <t xml:space="preserve">Public with conditions</t>
  </si>
  <si>
    <t xml:space="preserve">Census tract</t>
  </si>
  <si>
    <t xml:space="preserve">Download / mapping tools</t>
  </si>
  <si>
    <t xml:space="preserve">Quarterly</t>
  </si>
  <si>
    <t xml:space="preserve">Residential vacancy, no-stat addresses, neighborhood distress</t>
  </si>
  <si>
    <t xml:space="preserve">https://www.huduser.gov/portal/datasets/usps.html</t>
  </si>
  <si>
    <t xml:space="preserve">Aggregated and subject to suppression; “vacant” is a postal-status concept.</t>
  </si>
  <si>
    <t xml:space="preserve">2023 quarterly</t>
  </si>
  <si>
    <t xml:space="preserve">WPRDC mirror on 2020 tracts (394/394), no HUD login needed.</t>
  </si>
  <si>
    <t xml:space="preserve">Mortgage &amp; finance</t>
  </si>
  <si>
    <t xml:space="preserve">Home Mortgage Disclosure Act Data</t>
  </si>
  <si>
    <t xml:space="preserve">CFPB / FFIEC</t>
  </si>
  <si>
    <t xml:space="preserve">Mortgage application / loan</t>
  </si>
  <si>
    <t xml:space="preserve">Bulk download and API</t>
  </si>
  <si>
    <t xml:space="preserve">Loan approvals, denials, borrower characteristics, loan types, lender patterns</t>
  </si>
  <si>
    <t xml:space="preserve">Census tract GEOID; lender; year</t>
  </si>
  <si>
    <t xml:space="preserve">https://ffiec.cfpb.gov/data-publication/</t>
  </si>
  <si>
    <t xml:space="preserve">Protected fields are modified; analysis must be careful about fair-lending interpretation.</t>
  </si>
  <si>
    <t xml:space="preserve">P1: tract investor share, denial rates.</t>
  </si>
  <si>
    <t xml:space="preserve">Jobs &amp; mobility</t>
  </si>
  <si>
    <t xml:space="preserve">LEHD Origin-Destination Employment Statistics (LODES)</t>
  </si>
  <si>
    <t xml:space="preserve">Census block / flow</t>
  </si>
  <si>
    <t xml:space="preserve">Bulk download</t>
  </si>
  <si>
    <t xml:space="preserve">Home-to-work flows, employment access, job density, commute patterns</t>
  </si>
  <si>
    <t xml:space="preserve">Census block GEOID</t>
  </si>
  <si>
    <t xml:space="preserve">https://lehd.ces.census.gov/data/</t>
  </si>
  <si>
    <t xml:space="preserve">Data are modeled and noise-infused; latest year lags.</t>
  </si>
  <si>
    <t xml:space="preserve">data/processed/opportunity_access.parquet</t>
  </si>
  <si>
    <t xml:space="preserve">LODES8 WAC 2023</t>
  </si>
  <si>
    <t xml:space="preserve">yes (3 km radius)</t>
  </si>
  <si>
    <t xml:space="preserve">D2: jobs within 3 km (total, low-wage).</t>
  </si>
  <si>
    <t xml:space="preserve">Jobs &amp; economy</t>
  </si>
  <si>
    <t xml:space="preserve">Quarterly Census of Employment and Wages</t>
  </si>
  <si>
    <t xml:space="preserve">BLS</t>
  </si>
  <si>
    <t xml:space="preserve">County / industry</t>
  </si>
  <si>
    <t xml:space="preserve">Downloads and API</t>
  </si>
  <si>
    <t xml:space="preserve">Employment and wage trends for demand and feasibility context</t>
  </si>
  <si>
    <t xml:space="preserve">County FIPS; NAICS</t>
  </si>
  <si>
    <t xml:space="preserve">https://www.bls.gov/cew/downloadable-data-files.htm</t>
  </si>
  <si>
    <t xml:space="preserve">Small cells may be suppressed; workplace location differs from residence.</t>
  </si>
  <si>
    <t xml:space="preserve">County/industry only.</t>
  </si>
  <si>
    <t xml:space="preserve">Construction costs</t>
  </si>
  <si>
    <t xml:space="preserve">Producer Price Index</t>
  </si>
  <si>
    <t xml:space="preserve">National industry / commodity index</t>
  </si>
  <si>
    <t xml:space="preserve">Monthly</t>
  </si>
  <si>
    <t xml:space="preserve">Construction material and contractor-cost escalation scenarios</t>
  </si>
  <si>
    <t xml:space="preserve">Feasibility</t>
  </si>
  <si>
    <t xml:space="preserve">Series ID; month</t>
  </si>
  <si>
    <t xml:space="preserve">https://www.bls.gov/ppi/data.htm</t>
  </si>
  <si>
    <t xml:space="preserve">National indexes are not Pittsburgh bids; use as escalation factors, not level estimates.</t>
  </si>
  <si>
    <t xml:space="preserve">Construction cost (Track 1).</t>
  </si>
  <si>
    <t xml:space="preserve">Transit &amp; accessibility</t>
  </si>
  <si>
    <t xml:space="preserve">Pittsburgh Regional Transit GTFS</t>
  </si>
  <si>
    <t xml:space="preserve">Pittsburgh Regional Transit / WPRDC</t>
  </si>
  <si>
    <t xml:space="preserve">Allegheny County region</t>
  </si>
  <si>
    <t xml:space="preserve">Stop, route, trip, schedule</t>
  </si>
  <si>
    <t xml:space="preserve">GTFS ZIP / open download</t>
  </si>
  <si>
    <t xml:space="preserve">Regular schedule updates</t>
  </si>
  <si>
    <t xml:space="preserve">Transit access, service frequency, travel-time and climate scoring</t>
  </si>
  <si>
    <t xml:space="preserve">Stop ID; route ID; spatial join</t>
  </si>
  <si>
    <t xml:space="preserve">https://data.wprdc.org/dataset/port-authority-of-allegheny-county-transit-data</t>
  </si>
  <si>
    <t xml:space="preserve">Scheduled service is not the same as realized reliability; agency name may appear historically as Port Authority.</t>
  </si>
  <si>
    <t xml:space="preserve">data/external/benchmark/gtfs/prt_gtfs.zip</t>
  </si>
  <si>
    <t xml:space="preserve">2026 feed</t>
  </si>
  <si>
    <t xml:space="preserve">transit_access factor: weekday departures ≤400 m per acre.</t>
  </si>
  <si>
    <t xml:space="preserve">Transportation</t>
  </si>
  <si>
    <t xml:space="preserve">PennDOT Open Data</t>
  </si>
  <si>
    <t xml:space="preserve">PennDOT</t>
  </si>
  <si>
    <t xml:space="preserve">Pennsylvania</t>
  </si>
  <si>
    <t xml:space="preserve">Road segment, bridge, traffic count</t>
  </si>
  <si>
    <t xml:space="preserve">Open GIS and downloads</t>
  </si>
  <si>
    <t xml:space="preserve">Road access, traffic volumes, bridge constraints, crash and infrastructure context</t>
  </si>
  <si>
    <t xml:space="preserve">Route/segment ID; spatial join</t>
  </si>
  <si>
    <t xml:space="preserve">https://gis.penndot.gov/paprojects/</t>
  </si>
  <si>
    <t xml:space="preserve">Different products have different download paths and vintages.</t>
  </si>
  <si>
    <t xml:space="preserve">Low priority for scope.</t>
  </si>
  <si>
    <t xml:space="preserve">Amenities &amp; network</t>
  </si>
  <si>
    <t xml:space="preserve">OpenStreetMap</t>
  </si>
  <si>
    <t xml:space="preserve">OpenStreetMap contributors</t>
  </si>
  <si>
    <t xml:space="preserve">Nonprofit / crowdsourced</t>
  </si>
  <si>
    <t xml:space="preserve">Global</t>
  </si>
  <si>
    <t xml:space="preserve">Building, road, amenity, address and other features</t>
  </si>
  <si>
    <t xml:space="preserve">Open API and extracts</t>
  </si>
  <si>
    <t xml:space="preserve">Continuous</t>
  </si>
  <si>
    <t xml:space="preserve">Amenities, street network, buildings, walkability proxies, routing</t>
  </si>
  <si>
    <t xml:space="preserve">OSM ID; spatial join</t>
  </si>
  <si>
    <t xml:space="preserve">https://www.openstreetmap.org/</t>
  </si>
  <si>
    <t xml:space="preserve">Completeness varies; comply with ODbL attribution and share-alike requirements.</t>
  </si>
  <si>
    <t xml:space="preserve">data/external/opportunity_access/ (Overpass cache)</t>
  </si>
  <si>
    <t xml:space="preserve">OSM 2026-07-28</t>
  </si>
  <si>
    <t xml:space="preserve">yes (800 m radius)</t>
  </si>
  <si>
    <t xml:space="preserve">D2 services within 800 m; OpenFreeMap basemap + 3D context; Photon/Nominatim geocoding. Under-maps childcare/pharmacies.</t>
  </si>
  <si>
    <t xml:space="preserve">Address reference</t>
  </si>
  <si>
    <t xml:space="preserve">OpenAddresses</t>
  </si>
  <si>
    <t xml:space="preserve">Open Knowledge Foundation / contributors</t>
  </si>
  <si>
    <t xml:space="preserve">Nonprofit / mixed public sources</t>
  </si>
  <si>
    <t xml:space="preserve">Address point</t>
  </si>
  <si>
    <t xml:space="preserve">Open bulk download</t>
  </si>
  <si>
    <t xml:space="preserve">Geocoding, address normalization, matching administrative records</t>
  </si>
  <si>
    <t xml:space="preserve">Normalized address; coordinates</t>
  </si>
  <si>
    <t xml:space="preserve">https://openaddresses.io/</t>
  </si>
  <si>
    <t xml:space="preserve">Coverage and licensing vary by source; inspect source metadata.</t>
  </si>
  <si>
    <t xml:space="preserve">Live geocoders used instead.</t>
  </si>
  <si>
    <t xml:space="preserve">Topography &amp; imagery</t>
  </si>
  <si>
    <t xml:space="preserve">Pennsylvania Spatial Data Access (PASDA)</t>
  </si>
  <si>
    <t xml:space="preserve">Penn State Institutes of Energy and the Environment</t>
  </si>
  <si>
    <t xml:space="preserve">Varies; parcel/vector/raster</t>
  </si>
  <si>
    <t xml:space="preserve">Open downloads and map services</t>
  </si>
  <si>
    <t xml:space="preserve">LiDAR, imagery, parcels, mine and environmental layers for site screening</t>
  </si>
  <si>
    <t xml:space="preserve">Spatial join; parcel ID where present</t>
  </si>
  <si>
    <t xml:space="preserve">https://www.pasda.psu.edu/</t>
  </si>
  <si>
    <t xml:space="preserve">Catalog spans many vintages and stewards; inspect each layer’s metadata.</t>
  </si>
  <si>
    <t xml:space="preserve">LiDAR/footprints reviewed; PEMA 2021–23 imagery tiles verified for a satellite toggle.</t>
  </si>
  <si>
    <t xml:space="preserve">USGS 3D Elevation Program</t>
  </si>
  <si>
    <t xml:space="preserve">U.S. Geological Survey</t>
  </si>
  <si>
    <t xml:space="preserve">Raster elevation / point cloud</t>
  </si>
  <si>
    <t xml:space="preserve">Open download and services</t>
  </si>
  <si>
    <t xml:space="preserve">Slope, grading difficulty, drainage, viewshed, site constraints</t>
  </si>
  <si>
    <t xml:space="preserve">Spatial join</t>
  </si>
  <si>
    <t xml:space="preserve">https://www.usgs.gov/3d-elevation-program</t>
  </si>
  <si>
    <t xml:space="preserve">Resolution and acquisition year vary by location.</t>
  </si>
  <si>
    <t xml:space="preserve">research/musa6950_takeaway/data/dem/; data/processed/tract_terrain.parquet</t>
  </si>
  <si>
    <t xml:space="preserve">1 arc-sec (2024 download)</t>
  </si>
  <si>
    <t xml:space="preserve">Tract elevation/slope (info only); Mapterhorn tiles (incl. 3DEP) for 3D terrain.</t>
  </si>
  <si>
    <t xml:space="preserve">Allegheny County Orthoimagery</t>
  </si>
  <si>
    <t xml:space="preserve">Allegheny County / PASDA</t>
  </si>
  <si>
    <t xml:space="preserve">High-resolution raster tiles</t>
  </si>
  <si>
    <t xml:space="preserve">Open download / map service</t>
  </si>
  <si>
    <t xml:space="preserve">Periodic flights</t>
  </si>
  <si>
    <t xml:space="preserve">Detect structures and land cover; validate parcel and building context</t>
  </si>
  <si>
    <t xml:space="preserve">Spatial join; tile index</t>
  </si>
  <si>
    <t xml:space="preserve">https://www.pasda.psu.edu/uci/SearchResults.aspx?Keyword=Allegheny%20County%20Imagery</t>
  </si>
  <si>
    <t xml:space="preserve">Large files; imagery date must be recorded and visual interpretation validated.</t>
  </si>
  <si>
    <t xml:space="preserve">research/musa6950_takeaway/data/naip/</t>
  </si>
  <si>
    <t xml:space="preserve">NAIP 2022</t>
  </si>
  <si>
    <t xml:space="preserve">yes (zonal)</t>
  </si>
  <si>
    <t xml:space="preserve">NAIP used for NDVI vegetation cover instead of county ortho.</t>
  </si>
  <si>
    <t xml:space="preserve">Hazards &amp; environment</t>
  </si>
  <si>
    <t xml:space="preserve">FEMA National Flood Hazard Layer</t>
  </si>
  <si>
    <t xml:space="preserve">FEMA</t>
  </si>
  <si>
    <t xml:space="preserve">Flood zone polygon / line</t>
  </si>
  <si>
    <t xml:space="preserve">Open GIS services and downloads</t>
  </si>
  <si>
    <t xml:space="preserve">Ongoing revisions</t>
  </si>
  <si>
    <t xml:space="preserve">Floodplain screening, risk communication, feasibility and climate scoring</t>
  </si>
  <si>
    <t xml:space="preserve">Spatial join; community/panel ID</t>
  </si>
  <si>
    <t xml:space="preserve">https://www.fema.gov/flood-maps/national-flood-hazard-layer</t>
  </si>
  <si>
    <t xml:space="preserve">Not a substitute for survey or flood determination; map amendments may matter.</t>
  </si>
  <si>
    <t xml:space="preserve">effective 2014-09-26</t>
  </si>
  <si>
    <t xml:space="preserve">P0: 7,793 Allegheny polygons; validate/replace HAND flood share; streamable raster.</t>
  </si>
  <si>
    <t xml:space="preserve">PA DEP eMapPA</t>
  </si>
  <si>
    <t xml:space="preserve">Pennsylvania DEP</t>
  </si>
  <si>
    <t xml:space="preserve">Facility, permit, mine and environmental feature</t>
  </si>
  <si>
    <t xml:space="preserve">Interactive map / GIS services</t>
  </si>
  <si>
    <t xml:space="preserve">Contamination, regulated facilities, mining, water and environmental constraints</t>
  </si>
  <si>
    <t xml:space="preserve">Facility ID; permit ID; spatial join</t>
  </si>
  <si>
    <t xml:space="preserve">https://www.dep.pa.gov/DataandTools/Pages/eMapPA.aspx</t>
  </si>
  <si>
    <t xml:space="preserve">Multiple programs and vintages; confirm authoritative program records.</t>
  </si>
  <si>
    <t xml:space="preserve">Mined areas layer noted (1,004 polygons).</t>
  </si>
  <si>
    <t xml:space="preserve">Pittsburgh Steep Slopes (25% or greater)</t>
  </si>
  <si>
    <t xml:space="preserve">Slope polygon</t>
  </si>
  <si>
    <t xml:space="preserve">Flag difficult or regulated sites and estimate grading risk</t>
  </si>
  <si>
    <t xml:space="preserve">https://data.wprdc.org/dataset/25-or-greater-slope</t>
  </si>
  <si>
    <t xml:space="preserve">Derived threshold layer; site engineering requires detailed survey/geotechnical work.</t>
  </si>
  <si>
    <t xml:space="preserve">data/processed/tract_terrain.parquet</t>
  </si>
  <si>
    <t xml:space="preserve">DEM-derived</t>
  </si>
  <si>
    <t xml:space="preserve">We compute slope from 30 m DEM; official City ≥25% layer (1,714 polys) verified, not ingested.</t>
  </si>
  <si>
    <t xml:space="preserve">Pittsburgh Undermined Areas</t>
  </si>
  <si>
    <t xml:space="preserve">City / County / WPRDC</t>
  </si>
  <si>
    <t xml:space="preserve">Pittsburgh / Allegheny County</t>
  </si>
  <si>
    <t xml:space="preserve">Mine influence polygon</t>
  </si>
  <si>
    <t xml:space="preserve">Preliminary mine-subsidence risk screening</t>
  </si>
  <si>
    <t xml:space="preserve">https://data.wprdc.org/dataset/undermined-areas</t>
  </si>
  <si>
    <t xml:space="preserve">Historic mine maps can be incomplete or imprecise; never use alone for safety decisions.</t>
  </si>
  <si>
    <t xml:space="preserve">P0 constraint share (City 47 polys; PA DEP county 1,004).</t>
  </si>
  <si>
    <t xml:space="preserve">EPA EJScreen</t>
  </si>
  <si>
    <t xml:space="preserve">U.S. EPA</t>
  </si>
  <si>
    <t xml:space="preserve">Block group / tract indicators</t>
  </si>
  <si>
    <t xml:space="preserve">Open downloads and API/GIS</t>
  </si>
  <si>
    <t xml:space="preserve">Environmental burden, demographic context, cumulative-impact screening</t>
  </si>
  <si>
    <t xml:space="preserve">https://www.epa.gov/ejscreen/download-ejscreen-data</t>
  </si>
  <si>
    <t xml:space="preserve">Screening tool, not a risk assessment; methods and indicator definitions change.</t>
  </si>
  <si>
    <t xml:space="preserve">Taken offline 2025; replaced by PA DEP PennEnviroScreen (added below).</t>
  </si>
  <si>
    <t xml:space="preserve">Land cover &amp; heat</t>
  </si>
  <si>
    <t xml:space="preserve">National Land Cover Database</t>
  </si>
  <si>
    <t xml:space="preserve">Multi-Resolution Land Characteristics Consortium / USGS</t>
  </si>
  <si>
    <t xml:space="preserve">30-meter raster and derivatives</t>
  </si>
  <si>
    <t xml:space="preserve">Open download</t>
  </si>
  <si>
    <t xml:space="preserve">Impervious surface, tree cover, green space, heat and runoff proxies</t>
  </si>
  <si>
    <t xml:space="preserve">Typology &amp; Climate</t>
  </si>
  <si>
    <t xml:space="preserve">https://www.mrlc.gov/data</t>
  </si>
  <si>
    <t xml:space="preserve">Resolution may miss parcel-scale features; record product year.</t>
  </si>
  <si>
    <t xml:space="preserve">research/musa6950_takeaway/outputs/tract_ndvi_flood.parquet</t>
  </si>
  <si>
    <t xml:space="preserve">NAIP 2022 NDVI</t>
  </si>
  <si>
    <t xml:space="preserve">NDVI vegetation cover instead of NLCD; impervious (NLCD 2021) P1.</t>
  </si>
  <si>
    <t xml:space="preserve">Climate</t>
  </si>
  <si>
    <t xml:space="preserve">NOAA Climate Data Online</t>
  </si>
  <si>
    <t xml:space="preserve">NOAA</t>
  </si>
  <si>
    <t xml:space="preserve">Weather station / gridded products</t>
  </si>
  <si>
    <t xml:space="preserve">Daily to annual</t>
  </si>
  <si>
    <t xml:space="preserve">Heat, precipitation, extreme-weather history, climate baselines</t>
  </si>
  <si>
    <t xml:space="preserve">Station ID; coordinates; date</t>
  </si>
  <si>
    <t xml:space="preserve">https://www.ncei.noaa.gov/cdo-web/</t>
  </si>
  <si>
    <t xml:space="preserve">Station coverage and missing observations require quality control.</t>
  </si>
  <si>
    <t xml:space="preserve">Energy &amp; buildings</t>
  </si>
  <si>
    <t xml:space="preserve">ResStock Public Data</t>
  </si>
  <si>
    <t xml:space="preserve">U.S. Department of Energy / NREL</t>
  </si>
  <si>
    <t xml:space="preserve">Modeled residential building stock / scenarios</t>
  </si>
  <si>
    <t xml:space="preserve">Open downloads</t>
  </si>
  <si>
    <t xml:space="preserve">Periodic releases</t>
  </si>
  <si>
    <t xml:space="preserve">Energy use, retrofit, emissions and housing-type scenario assumptions</t>
  </si>
  <si>
    <t xml:space="preserve">Typology &amp; Climate; Feasibility</t>
  </si>
  <si>
    <t xml:space="preserve">Geography; building archetype</t>
  </si>
  <si>
    <t xml:space="preserve">https://resstock.nrel.gov/</t>
  </si>
  <si>
    <t xml:space="preserve">Modeled stock, not parcel-level observed energy use; document scenario vintage.</t>
  </si>
  <si>
    <t xml:space="preserve">Track 3 core gap (carbon per typology).</t>
  </si>
  <si>
    <t xml:space="preserve">Private public data</t>
  </si>
  <si>
    <t xml:space="preserve">Zillow Research Housing Data</t>
  </si>
  <si>
    <t xml:space="preserve">Zillow</t>
  </si>
  <si>
    <t xml:space="preserve">Private company, public aggregate data</t>
  </si>
  <si>
    <t xml:space="preserve">Neighborhood, ZIP, city, county, metro, state</t>
  </si>
  <si>
    <t xml:space="preserve">Free CSV downloads</t>
  </si>
  <si>
    <t xml:space="preserve">Weekly/monthly depending on metric</t>
  </si>
  <si>
    <t xml:space="preserve">ZHVI values, ZORI rents, inventory, sales, affordability, demand trends</t>
  </si>
  <si>
    <t xml:space="preserve">Feasibility; Observatory; Typology &amp; Climate</t>
  </si>
  <si>
    <t xml:space="preserve">Region name/ID; ZIP; county FIPS; date</t>
  </si>
  <si>
    <t xml:space="preserve">https://www.zillow.com/research/data/</t>
  </si>
  <si>
    <t xml:space="preserve">Aggregate research data are public; listing-level/property-level data are not included. CSV URLs can change and historical values may be revised.</t>
  </si>
  <si>
    <t xml:space="preserve">(not in repo: MUSA5080-Final folder)</t>
  </si>
  <si>
    <t xml:space="preserve">ZORI 2015–2025</t>
  </si>
  <si>
    <t xml:space="preserve">via ZIP crosswalk</t>
  </si>
  <si>
    <t xml:space="preserve">Superseded by Dewey rental listings (tract-level).</t>
  </si>
  <si>
    <t xml:space="preserve">Redfin Housing Market Data Center</t>
  </si>
  <si>
    <t xml:space="preserve">Redfin</t>
  </si>
  <si>
    <t xml:space="preserve">ZIP, city, county, metro, state depending on product</t>
  </si>
  <si>
    <t xml:space="preserve">Public dashboards and downloadable files</t>
  </si>
  <si>
    <t xml:space="preserve">Weekly/monthly depending on product</t>
  </si>
  <si>
    <t xml:space="preserve">Prices, sales, listings, supply, demand, price drops, property types, investor and financing trends</t>
  </si>
  <si>
    <t xml:space="preserve">Region; date; property type</t>
  </si>
  <si>
    <t xml:space="preserve">https://www.redfin.com/news/data-center/</t>
  </si>
  <si>
    <t xml:space="preserve">Coverage and definitions differ by product; cite Redfin methodology and do not assume access to listing-level records.</t>
  </si>
  <si>
    <t xml:space="preserve">via ZIP</t>
  </si>
  <si>
    <t xml:space="preserve">Redfin Migration Patterns</t>
  </si>
  <si>
    <t xml:space="preserve">Metro / origin-destination trends</t>
  </si>
  <si>
    <t xml:space="preserve">Public dashboard and data download</t>
  </si>
  <si>
    <t xml:space="preserve">Search-based migration and household-flow proxy</t>
  </si>
  <si>
    <t xml:space="preserve">Origin metro; destination metro; date</t>
  </si>
  <si>
    <t xml:space="preserve">https://www.redfin.com/news/data-center/migration-patterns/</t>
  </si>
  <si>
    <t xml:space="preserve">Based on Redfin.com search behavior, not a representative count of actual household moves.</t>
  </si>
  <si>
    <t xml:space="preserve">Low priority.</t>
  </si>
  <si>
    <t xml:space="preserve">Realtor.com Residential Real Estate Data Library</t>
  </si>
  <si>
    <t xml:space="preserve">Realtor.com Economic Research</t>
  </si>
  <si>
    <t xml:space="preserve">ZIP, county, metro, state, nation</t>
  </si>
  <si>
    <t xml:space="preserve">Weekly/monthly</t>
  </si>
  <si>
    <t xml:space="preserve">Inventory, list prices, days on market, price reductions, demand/hotness</t>
  </si>
  <si>
    <t xml:space="preserve">ZIP; county/metro ID; date</t>
  </si>
  <si>
    <t xml:space="preserve">https://www.realtor.com/research/data/</t>
  </si>
  <si>
    <t xml:space="preserve">MLS listing coverage varies; historical series can be revised and attribution is requested.</t>
  </si>
  <si>
    <t xml:space="preserve">Mortgage rates</t>
  </si>
  <si>
    <t xml:space="preserve">Primary Mortgage Market Survey</t>
  </si>
  <si>
    <t xml:space="preserve">Freddie Mac</t>
  </si>
  <si>
    <t xml:space="preserve">Government-sponsored enterprise; public data</t>
  </si>
  <si>
    <t xml:space="preserve">National weekly rate</t>
  </si>
  <si>
    <t xml:space="preserve">Public download / chart</t>
  </si>
  <si>
    <t xml:space="preserve">Weekly</t>
  </si>
  <si>
    <t xml:space="preserve">Mortgage-rate assumptions and affordability scenarios</t>
  </si>
  <si>
    <t xml:space="preserve">Week/date</t>
  </si>
  <si>
    <t xml:space="preserve">https://www.freddiemac.com/pmms</t>
  </si>
  <si>
    <t xml:space="preserve">National averages; actual borrower rates vary by credit, loan, points, and geography.</t>
  </si>
  <si>
    <t xml:space="preserve">National weekly rate.</t>
  </si>
  <si>
    <t xml:space="preserve">Home prices</t>
  </si>
  <si>
    <t xml:space="preserve">FHFA House Price Index</t>
  </si>
  <si>
    <t xml:space="preserve">Federal Housing Finance Agency</t>
  </si>
  <si>
    <t xml:space="preserve">ZIP, county, metro, state and nation depending on series</t>
  </si>
  <si>
    <t xml:space="preserve">Quarterly/monthly</t>
  </si>
  <si>
    <t xml:space="preserve">Repeat-sales price trends and regional benchmarking</t>
  </si>
  <si>
    <t xml:space="preserve">Observatory; Feasibility</t>
  </si>
  <si>
    <t xml:space="preserve">Geography code; date</t>
  </si>
  <si>
    <t xml:space="preserve">https://www.fhfa.gov/data/hpi</t>
  </si>
  <si>
    <t xml:space="preserve">Index measures appreciation, not price levels; thin markets can be volatile.</t>
  </si>
  <si>
    <t xml:space="preserve">annual</t>
  </si>
  <si>
    <t xml:space="preserve">via crosswalk (2010 tracts)</t>
  </si>
  <si>
    <t xml:space="preserve">Only free tract-level appreciation index; many low-sales tracts blank (P1).</t>
  </si>
  <si>
    <t xml:space="preserve">Opportunity &amp; mobility</t>
  </si>
  <si>
    <t xml:space="preserve">Opportunity Atlas</t>
  </si>
  <si>
    <t xml:space="preserve">Opportunity Insights / U.S. Census Bureau</t>
  </si>
  <si>
    <t xml:space="preserve">Research nonprofit / public data</t>
  </si>
  <si>
    <t xml:space="preserve">Public download and map</t>
  </si>
  <si>
    <t xml:space="preserve">Periodic research release</t>
  </si>
  <si>
    <t xml:space="preserve">Long-run mobility, income, incarceration and other outcomes by childhood neighborhood</t>
  </si>
  <si>
    <t xml:space="preserve">Census tract GEOID</t>
  </si>
  <si>
    <t xml:space="preserve">https://www.opportunityatlas.org/</t>
  </si>
  <si>
    <t xml:space="preserve">Historical cohort outcomes are not current neighborhood conditions and should not be used to rank people.</t>
  </si>
  <si>
    <t xml:space="preserve">via crosswalk</t>
  </si>
  <si>
    <t xml:space="preserve">2010 tracts.</t>
  </si>
  <si>
    <t xml:space="preserve">Community demand</t>
  </si>
  <si>
    <t xml:space="preserve">Allegheny County 311 / Pittsburgh 311 Requests</t>
  </si>
  <si>
    <t xml:space="preserve">Request / location</t>
  </si>
  <si>
    <t xml:space="preserve">Resident-reported infrastructure, property, trash, street and neighborhood issues</t>
  </si>
  <si>
    <t xml:space="preserve">Request ID; coordinates; date</t>
  </si>
  <si>
    <t xml:space="preserve">https://data.wprdc.org/dataset/311-data</t>
  </si>
  <si>
    <t xml:space="preserve">Reporting propensity varies by neighborhood; requests are not verified incidence counts.</t>
  </si>
  <si>
    <t xml:space="preserve">P1 neighborhood-conditions signal.</t>
  </si>
  <si>
    <t xml:space="preserve">Schools &amp; services</t>
  </si>
  <si>
    <t xml:space="preserve">NCES School Locations and Characteristics</t>
  </si>
  <si>
    <t xml:space="preserve">National Center for Education Statistics</t>
  </si>
  <si>
    <t xml:space="preserve">School / district</t>
  </si>
  <si>
    <t xml:space="preserve">Downloads and GIS</t>
  </si>
  <si>
    <t xml:space="preserve">Access to schools, enrollment, school type, service-area context</t>
  </si>
  <si>
    <t xml:space="preserve">NCES school/district ID; coordinates</t>
  </si>
  <si>
    <t xml:space="preserve">https://nces.ed.gov/programs/edge/Geographic/SchoolLocations</t>
  </si>
  <si>
    <t xml:space="preserve">School quality should not be reduced to a single measure; attendance boundaries may require local data.</t>
  </si>
  <si>
    <t xml:space="preserve">CCD 2024–25</t>
  </si>
  <si>
    <t xml:space="preserve">yes (distance)</t>
  </si>
  <si>
    <t xml:space="preserve">D2: nearest elementary/middle/high school (via Urban Institute Education Data API).</t>
  </si>
  <si>
    <t xml:space="preserve">Allegheny County Real Estate Tax Delinquency</t>
  </si>
  <si>
    <t xml:space="preserve">Allegheny County Treasurer</t>
  </si>
  <si>
    <t xml:space="preserve">Fiscal disinvestment</t>
  </si>
  <si>
    <t xml:space="preserve">https://data.wprdc.org/dataset/delinquent-real-estate-taxes</t>
  </si>
  <si>
    <t xml:space="preserve">P1 distress signal.</t>
  </si>
  <si>
    <t xml:space="preserve">City of Pittsburgh and School District Property Tax Delinquency</t>
  </si>
  <si>
    <t xml:space="preserve">City of Pittsburgh, Pittsburgh Public Schools</t>
  </si>
  <si>
    <t xml:space="preserve">https://data.wprdc.org/dataset/city-of-pittsburgh-property-tax-delinquency</t>
  </si>
  <si>
    <t xml:space="preserve">Reflects current year</t>
  </si>
  <si>
    <t xml:space="preserve">Mortgage Foreclosures</t>
  </si>
  <si>
    <t xml:space="preserve">https://data.wprdc.org/dataset/allegheny-county-mortgage-foreclosure-records</t>
  </si>
  <si>
    <t xml:space="preserve">Not all properties that receive a filing actually change hands through a foreclosure process.  Data reflects that court filings exist in the docket.</t>
  </si>
  <si>
    <t xml:space="preserve">City-owned property</t>
  </si>
  <si>
    <t xml:space="preserve">Public ownership</t>
  </si>
  <si>
    <t xml:space="preserve">See City-Owned Properties.</t>
  </si>
  <si>
    <t xml:space="preserve">Mercatus Commuter Market Access Dataset for Congested Auto Travel (McMADCAT)</t>
  </si>
  <si>
    <t xml:space="preserve">Mercatus Center, George Mason University</t>
  </si>
  <si>
    <t xml:space="preserve">Research center / public data</t>
  </si>
  <si>
    <t xml:space="preserve">50 states and Washington, DC</t>
  </si>
  <si>
    <t xml:space="preserve">Census tract; five-minute travel-time bands</t>
  </si>
  <si>
    <t xml:space="preserve">Free ZIP downloads; summary and full data; PDF documentation</t>
  </si>
  <si>
    <t xml:space="preserve">Research release (2025 congested travel times)</t>
  </si>
  <si>
    <t xml:space="preserve">Map jobs reachable from homes and workers reachable from job sites by congested car travel; compare housing sites and labor-market access</t>
  </si>
  <si>
    <t xml:space="preserve">Typology &amp; Climate; Observatory; Feasibility</t>
  </si>
  <si>
    <t xml:space="preserve">https://www.mercatus.org/commuter-market-access-dataset</t>
  </si>
  <si>
    <t xml:space="preserve">Auto only; 60-minute cutoff and tract-centroid travel times. Mostly 2023 LODES jobs (Michigan 2021; Alaska 2016); 2019–2023 ACS. Free use with attribution requested.</t>
  </si>
  <si>
    <t xml:space="preserve">Access Across America</t>
  </si>
  <si>
    <t xml:space="preserve">University of Minnesota Accessibility Observatory / Center for Transportation Studies</t>
  </si>
  <si>
    <t xml:space="preserve">University research / public data</t>
  </si>
  <si>
    <t xml:space="preserve">United States; metro summaries focus on major metropolitan areas</t>
  </si>
  <si>
    <t xml:space="preserve">Census block access measures; metro summaries</t>
  </si>
  <si>
    <t xml:space="preserve">Public reports and data via University Digital Conservancy</t>
  </si>
  <si>
    <t xml:space="preserve">Annual series; 2024 data year available</t>
  </si>
  <si>
    <t xml:space="preserve">Compare access to jobs by auto, transit, biking, and walking; identify housing locations with strong multimodal opportunity access</t>
  </si>
  <si>
    <t xml:space="preserve">Census block GEOID; metro / year</t>
  </si>
  <si>
    <t xml:space="preserve">https://access.umn.edu/ao-research/aaa</t>
  </si>
  <si>
    <t xml:space="preserve">Mode, travel-time threshold, coverage and data availability vary by year/product. Verify the specific download and reuse terms in the Digital Conservancy; accessibility is modeled, not observed commutes.</t>
  </si>
  <si>
    <t xml:space="preserve">unknown</t>
  </si>
  <si>
    <t xml:space="preserve">Equity &amp; vulnerability</t>
  </si>
  <si>
    <t xml:space="preserve">CDC/ATSDR Social Vulnerability Index 2022</t>
  </si>
  <si>
    <t xml:space="preserve">CDC/ATSDR</t>
  </si>
  <si>
    <t xml:space="preserve">Tract</t>
  </si>
  <si>
    <t xml:space="preserve">CSV download</t>
  </si>
  <si>
    <t xml:space="preserve">Biennial</t>
  </si>
  <si>
    <t xml:space="preserve">Displacement-risk component (overall + 4 themes)</t>
  </si>
  <si>
    <t xml:space="preserve">https://svi.cdc.gov/Documents/Data/2022/csv/states/Pennsylvania.csv</t>
  </si>
  <si>
    <t xml:space="preserve">Ranks within PA (re-ranked county-wide); 12 Allegheny tracts missing.</t>
  </si>
  <si>
    <t xml:space="preserve">data/external/benchmark/svi/svi2022_pa.csv</t>
  </si>
  <si>
    <t xml:space="preserve">2022</t>
  </si>
  <si>
    <t xml:space="preserve">displacement_risk (weight 0.3).</t>
  </si>
  <si>
    <t xml:space="preserve">Housing market</t>
  </si>
  <si>
    <t xml:space="preserve">Reinvestment Fund Market Value Analysis 2021</t>
  </si>
  <si>
    <t xml:space="preserve">Reinvestment Fund / URA / WPRDC</t>
  </si>
  <si>
    <t xml:space="preserve">Block group (2010)</t>
  </si>
  <si>
    <t xml:space="preserve">GeoJSON download</t>
  </si>
  <si>
    <t xml:space="preserve">~5 years</t>
  </si>
  <si>
    <t xml:space="preserve">Market type A–J</t>
  </si>
  <si>
    <t xml:space="preserve">BG GEOID → tract crosswalk</t>
  </si>
  <si>
    <t xml:space="preserve">https://data.wprdc.org/dataset/market-value-analysis-2021</t>
  </si>
  <si>
    <t xml:space="preserve">2010 block groups; categories not comparable across vintages.</t>
  </si>
  <si>
    <t xml:space="preserve">data/external/benchmark/mva/mva2021.geojson</t>
  </si>
  <si>
    <t xml:space="preserve">2021</t>
  </si>
  <si>
    <t xml:space="preserve">market_strength (80%).</t>
  </si>
  <si>
    <t xml:space="preserve">Reinvestment Fund Market Value Analysis 2016 (County + City)</t>
  </si>
  <si>
    <t xml:space="preserve">SHP download</t>
  </si>
  <si>
    <t xml:space="preserve">Direction of market change 2016→2021</t>
  </si>
  <si>
    <t xml:space="preserve">https://data.wprdc.org/dataset/market-value-analysis-2016</t>
  </si>
  <si>
    <t xml:space="preserve">Two separately calibrated models; direction only.</t>
  </si>
  <si>
    <t xml:space="preserve">data/external/benchmark/mva/</t>
  </si>
  <si>
    <t xml:space="preserve">2016</t>
  </si>
  <si>
    <t xml:space="preserve">market_strength (20%); mva_trend arrow.</t>
  </si>
  <si>
    <t xml:space="preserve">Displacement</t>
  </si>
  <si>
    <t xml:space="preserve">Eviction Lab Eviction Tracking System — Pittsburgh (ZIP, monthly)</t>
  </si>
  <si>
    <t xml:space="preserve">Eviction Lab, Princeton</t>
  </si>
  <si>
    <t xml:space="preserve">Nonprofit research</t>
  </si>
  <si>
    <t xml:space="preserve">Allegheny County (145 ZIPs)</t>
  </si>
  <si>
    <t xml:space="preserve">ZIP × month</t>
  </si>
  <si>
    <t xml:space="preserve">CSV (S3)</t>
  </si>
  <si>
    <t xml:space="preserve">Recent eviction filing rate per tract</t>
  </si>
  <si>
    <t xml:space="preserve">ZIP → tract (renter units)</t>
  </si>
  <si>
    <t xml:space="preserve">https://eviction-lab-data-downloads.s3.amazonaws.com/ets/all_sites_monthly_2020_2021.csv</t>
  </si>
  <si>
    <t xml:space="preserve">Court filings, not evictions; 1.2% sealed; modeled ZIP→tract.</t>
  </si>
  <si>
    <t xml:space="preserve">data/processed/evictions.parquet</t>
  </si>
  <si>
    <t xml:space="preserve">2024-09 → 2026-08</t>
  </si>
  <si>
    <t xml:space="preserve">via ZIP spread</t>
  </si>
  <si>
    <t xml:space="preserve">D1: 382/394 tracts; standalone layer (not yet in displacement_risk).</t>
  </si>
  <si>
    <t xml:space="preserve">Eviction Lab modeled tract filings 2000–2018</t>
  </si>
  <si>
    <t xml:space="preserve">Eviction Lab</t>
  </si>
  <si>
    <t xml:space="preserve">Tract (2010)</t>
  </si>
  <si>
    <t xml:space="preserve">Static</t>
  </si>
  <si>
    <t xml:space="preserve">—</t>
  </si>
  <si>
    <t xml:space="preserve">Observatory</t>
  </si>
  <si>
    <t xml:space="preserve">GEOID (2010)</t>
  </si>
  <si>
    <t xml:space="preserve">https://eviction-lab-data-downloads.s3.amazonaws.com/estimating-eviction-prevalance-across-us/tract_proprietary_2000_2018.csv</t>
  </si>
  <si>
    <t xml:space="preserve">No Allegheny tract data after 2006 → unusable.</t>
  </si>
  <si>
    <t xml:space="preserve">data/external/benchmark/eviction/</t>
  </si>
  <si>
    <t xml:space="preserve">2000–2018</t>
  </si>
  <si>
    <t xml:space="preserve">no (empty)</t>
  </si>
  <si>
    <t xml:space="preserve">Replaced by ETS.</t>
  </si>
  <si>
    <t xml:space="preserve">HUD Housing Choice Vouchers by Tract</t>
  </si>
  <si>
    <t xml:space="preserve">ArcGIS service</t>
  </si>
  <si>
    <t xml:space="preserve">Voucher density (displacement component)</t>
  </si>
  <si>
    <t xml:space="preserve">https://services.arcgis.com/VTyQ9soqVukalItT/arcgis/rest/services/Housing_Choice_Vouchers_by_Tract/FeatureServer/0</t>
  </si>
  <si>
    <t xml:space="preserve">≤10 holders suppressed (200 tracts null).</t>
  </si>
  <si>
    <t xml:space="preserve">data/external/benchmark/hcv/hcv_by_tract_42003.json</t>
  </si>
  <si>
    <t xml:space="preserve">to 12/2025</t>
  </si>
  <si>
    <t xml:space="preserve">displacement_risk (weight 0.2).</t>
  </si>
  <si>
    <t xml:space="preserve">Subsidy eligibility</t>
  </si>
  <si>
    <t xml:space="preserve">HUD Qualified Census Tracts 2026</t>
  </si>
  <si>
    <t xml:space="preserve">CSV zip</t>
  </si>
  <si>
    <t xml:space="preserve">Subsidy flag</t>
  </si>
  <si>
    <t xml:space="preserve">https://www.huduser.gov/portal/datasets/qct/QCT2026CSV.zip</t>
  </si>
  <si>
    <t xml:space="preserve">data/external/benchmark/flags/</t>
  </si>
  <si>
    <t xml:space="preserve">90 Allegheny tracts; subsidy_eligible.</t>
  </si>
  <si>
    <t xml:space="preserve">HUD Small Area Difficult Development Areas 2026</t>
  </si>
  <si>
    <t xml:space="preserve">ZCTA</t>
  </si>
  <si>
    <t xml:space="preserve">XLSX</t>
  </si>
  <si>
    <t xml:space="preserve">ZCTA → tract (area)</t>
  </si>
  <si>
    <t xml:space="preserve">https://www.huduser.gov/portal/datasets/qct/2026-DDAs-Data-Used-to-Designate.xlsx</t>
  </si>
  <si>
    <t xml:space="preserve">Area-overlap assignment.</t>
  </si>
  <si>
    <t xml:space="preserve">via ZCTA</t>
  </si>
  <si>
    <t xml:space="preserve">13 tracts.</t>
  </si>
  <si>
    <t xml:space="preserve">Opportunity Zones</t>
  </si>
  <si>
    <t xml:space="preserve">CDFI Fund / HUD ArcGIS</t>
  </si>
  <si>
    <t xml:space="preserve">Static (2018)</t>
  </si>
  <si>
    <t xml:space="preserve">GEOID10 → 2020 crosswalk</t>
  </si>
  <si>
    <t xml:space="preserve">https://services.arcgis.com/VTyQ9soqVukalItT/arcgis/rest/services/Opportunity_Zones/FeatureServer/13</t>
  </si>
  <si>
    <t xml:space="preserve">2010 tracts; new round from 2027.</t>
  </si>
  <si>
    <t xml:space="preserve">data/external/benchmark/flags/oz_42003.json</t>
  </si>
  <si>
    <t xml:space="preserve">2018</t>
  </si>
  <si>
    <t xml:space="preserve">61 tracts.</t>
  </si>
  <si>
    <t xml:space="preserve">City of Pittsburgh CDBG-eligible block groups</t>
  </si>
  <si>
    <t xml:space="preserve">CSV</t>
  </si>
  <si>
    <t xml:space="preserve">BG → tract (HU ≥50%)</t>
  </si>
  <si>
    <t xml:space="preserve">https://data.wprdc.org/datastore/dump/dc85da67-b32f-4408-acef-b763d08b5bf0</t>
  </si>
  <si>
    <t xml:space="preserve">City only (null elsewhere); 2018 LMISD.</t>
  </si>
  <si>
    <t xml:space="preserve">data/external/benchmark/flags/cdbg2018_pgh_bg.csv</t>
  </si>
  <si>
    <t xml:space="preserve">74 eligible tracts.</t>
  </si>
  <si>
    <t xml:space="preserve">Census 2010↔2020 relationship files (PA)</t>
  </si>
  <si>
    <t xml:space="preserve">Tract / block group</t>
  </si>
  <si>
    <t xml:space="preserve">TXT</t>
  </si>
  <si>
    <t xml:space="preserve">Decennial</t>
  </si>
  <si>
    <t xml:space="preserve">2010→2020 crosswalks</t>
  </si>
  <si>
    <t xml:space="preserve">https://www2.census.gov/geo/docs/maps-data/data/rel2020/</t>
  </si>
  <si>
    <t xml:space="preserve">Area weights; HU weights built from 2020 blocks.</t>
  </si>
  <si>
    <t xml:space="preserve">data/interim/xwalk_*.parquet</t>
  </si>
  <si>
    <t xml:space="preserve">City of Pittsburgh neighborhoods</t>
  </si>
  <si>
    <t xml:space="preserve">Neighborhood (90)</t>
  </si>
  <si>
    <t xml:space="preserve">GeoJSON</t>
  </si>
  <si>
    <t xml:space="preserve">Stable</t>
  </si>
  <si>
    <t xml:space="preserve">Labels, place search</t>
  </si>
  <si>
    <t xml:space="preserve">Spatial</t>
  </si>
  <si>
    <t xml:space="preserve">https://data.wprdc.org/dataset/e672f13d-71c4-4a66-8f38-710e75ed80a4</t>
  </si>
  <si>
    <t xml:space="preserve">data/external/benchmark/neighborhoods/</t>
  </si>
  <si>
    <t xml:space="preserve">current</t>
  </si>
  <si>
    <t xml:space="preserve">Offline search index web/src/data/places.json.</t>
  </si>
  <si>
    <t xml:space="preserve">Buildings</t>
  </si>
  <si>
    <t xml:space="preserve">Overture Maps buildings</t>
  </si>
  <si>
    <t xml:space="preserve">Overture Maps Foundation</t>
  </si>
  <si>
    <t xml:space="preserve">Open data</t>
  </si>
  <si>
    <t xml:space="preserve">Building footprint</t>
  </si>
  <si>
    <t xml:space="preserve">GeoParquet (S3)</t>
  </si>
  <si>
    <t xml:space="preserve">3D building extrusions in focus tracts</t>
  </si>
  <si>
    <t xml:space="preserve">https://docs.overturemaps.org/guides/buildings/</t>
  </si>
  <si>
    <t xml:space="preserve">Heights partial; filled from assessments STORIES.</t>
  </si>
  <si>
    <t xml:space="preserve">data/processed/buildings_focus.geojson</t>
  </si>
  <si>
    <t xml:space="preserve">2026-09-23</t>
  </si>
  <si>
    <t xml:space="preserve">84% of heights from records.</t>
  </si>
  <si>
    <t xml:space="preserve">Basemap &amp; terrain</t>
  </si>
  <si>
    <t xml:space="preserve">Mapterhorn terrain tiles</t>
  </si>
  <si>
    <t xml:space="preserve">Mapterhorn</t>
  </si>
  <si>
    <t xml:space="preserve">Raster tiles (~1 m at z16)</t>
  </si>
  <si>
    <t xml:space="preserve">Tile service</t>
  </si>
  <si>
    <t xml:space="preserve">3D hills, hillshade, contours, cursor elevation</t>
  </si>
  <si>
    <t xml:space="preserve">https://tiles.mapterhorn.com</t>
  </si>
  <si>
    <t xml:space="preserve">Display only; attribution '© Mapterhorn'.</t>
  </si>
  <si>
    <t xml:space="preserve">(streamed in the web app)</t>
  </si>
  <si>
    <t xml:space="preserve">Falls back to AWS Terrarium.</t>
  </si>
  <si>
    <t xml:space="preserve">OpenFreeMap basemap</t>
  </si>
  <si>
    <t xml:space="preserve">OpenFreeMap / OpenStreetMap</t>
  </si>
  <si>
    <t xml:space="preserve">Vector tiles</t>
  </si>
  <si>
    <t xml:space="preserve">Keyless basemap + 3D context buildings</t>
  </si>
  <si>
    <t xml:space="preserve">https://tiles.openfreemap.org/styles/positron</t>
  </si>
  <si>
    <t xml:space="preserve">OSM building heights mostly default in Pittsburgh.</t>
  </si>
  <si>
    <t xml:space="preserve">HAND flood screening share (MUSA 6950 research)</t>
  </si>
  <si>
    <t xml:space="preserve">VisionPitts research (USGS HAND)</t>
  </si>
  <si>
    <t xml:space="preserve">Derived</t>
  </si>
  <si>
    <t xml:space="preserve">Parquet</t>
  </si>
  <si>
    <t xml:space="preserve">flood_exposure factor</t>
  </si>
  <si>
    <t xml:space="preserve">research/musa6950_takeaway/</t>
  </si>
  <si>
    <t xml:space="preserve">Screening model, not FEMA.</t>
  </si>
  <si>
    <t xml:space="preserve">data/processed/tract_ndvi_flood.parquet</t>
  </si>
  <si>
    <t xml:space="preserve">2024</t>
  </si>
  <si>
    <t xml:space="preserve">Validate against FEMA NFHL (P0).</t>
  </si>
  <si>
    <t xml:space="preserve">Dewey — Rental Listings (Pennsylvania)</t>
  </si>
  <si>
    <t xml:space="preserve">Dewey Data (scraped listings)</t>
  </si>
  <si>
    <t xml:space="preserve">Private, licensed</t>
  </si>
  <si>
    <t xml:space="preserve">Listing point (lat/lon)</t>
  </si>
  <si>
    <t xml:space="preserve">Parquet (licensed download)</t>
  </si>
  <si>
    <t xml:space="preserve">Scrape-daily</t>
  </si>
  <si>
    <t xml:space="preserve">Asking rents by tract/year, growth, FMR gap</t>
  </si>
  <si>
    <t xml:space="preserve">Point-in-tract</t>
  </si>
  <si>
    <t xml:space="preserve">https://www.deweydata.io/</t>
  </si>
  <si>
    <t xml:space="preserve">Asking rents, market-rate skew; growth partly new-luxury composition; licensed — do not redistribute raw rows.</t>
  </si>
  <si>
    <t xml:space="preserve">data/raw/dewey/rental-listings-pa/ → data/processed/asking_rents.parquet</t>
  </si>
  <si>
    <t xml:space="preserve">2019 → 2026-08</t>
  </si>
  <si>
    <t xml:space="preserve">D7: 13.7M PA rows, 2.62M Allegheny; county 2BR $1,100 (2019) → $1,495 (2026).</t>
  </si>
  <si>
    <t xml:space="preserve">Dewey — Listing ↔ Property mapping</t>
  </si>
  <si>
    <t xml:space="preserve">Dewey Data</t>
  </si>
  <si>
    <t xml:space="preserve">Listing ID</t>
  </si>
  <si>
    <t xml:space="preserve">Recover pre-2023 unit IDs for dedupe</t>
  </si>
  <si>
    <t xml:space="preserve">ID</t>
  </si>
  <si>
    <t xml:space="preserve">IDs only (307M rows).</t>
  </si>
  <si>
    <t xml:space="preserve">data/raw/dewey/listing-and-property-mapping/</t>
  </si>
  <si>
    <t xml:space="preserve">2026-05</t>
  </si>
  <si>
    <t xml:space="preserve">Used by D7 v2.</t>
  </si>
  <si>
    <t xml:space="preserve">Census 2020 DHC block tenure (H4)</t>
  </si>
  <si>
    <t xml:space="preserve">Block</t>
  </si>
  <si>
    <t xml:space="preserve">API</t>
  </si>
  <si>
    <t xml:space="preserve">Renter-unit weights for ZIP→tract</t>
  </si>
  <si>
    <t xml:space="preserve">Block GEOID</t>
  </si>
  <si>
    <t xml:space="preserve">https://api.census.gov/data/2020/dec/dhc</t>
  </si>
  <si>
    <t xml:space="preserve">data/external/evictions/</t>
  </si>
  <si>
    <t xml:space="preserve">D1 weights.</t>
  </si>
  <si>
    <t xml:space="preserve">Prices</t>
  </si>
  <si>
    <t xml:space="preserve">BLS CPI-U annual averages</t>
  </si>
  <si>
    <t xml:space="preserve">U.S. Bureau of Labor Statistics</t>
  </si>
  <si>
    <t xml:space="preserve">National</t>
  </si>
  <si>
    <t xml:space="preserve">2013→2023 real-dollar conversion</t>
  </si>
  <si>
    <t xml:space="preserve">Year</t>
  </si>
  <si>
    <t xml:space="preserve">https://www.bls.gov/cpi/</t>
  </si>
  <si>
    <t xml:space="preserve">(constants in build_profile_change.py)</t>
  </si>
  <si>
    <t xml:space="preserve">2013, 2023</t>
  </si>
  <si>
    <t xml:space="preserve">D8.</t>
  </si>
  <si>
    <t xml:space="preserve">Allegheny County school district boundaries</t>
  </si>
  <si>
    <t xml:space="preserve">School district (45)</t>
  </si>
  <si>
    <t xml:space="preserve">School district per tract</t>
  </si>
  <si>
    <t xml:space="preserve">https://data.wprdc.org/dataset/allegheny-county-school-district-boundaries</t>
  </si>
  <si>
    <t xml:space="preserve">D2 school_district.</t>
  </si>
  <si>
    <t xml:space="preserve">Geocoding</t>
  </si>
  <si>
    <t xml:space="preserve">US Census Geocoder (geographies)</t>
  </si>
  <si>
    <t xml:space="preserve">Address → tract</t>
  </si>
  <si>
    <t xml:space="preserve">API (JSONP)</t>
  </si>
  <si>
    <t xml:space="preserve">Live</t>
  </si>
  <si>
    <t xml:space="preserve">Address search returns tract GEOID</t>
  </si>
  <si>
    <t xml:space="preserve">Address</t>
  </si>
  <si>
    <t xml:space="preserve">https://geocoding.geo.census.gov</t>
  </si>
  <si>
    <t xml:space="preserve">Query text sent to Census.</t>
  </si>
  <si>
    <t xml:space="preserve">(live in the web app)</t>
  </si>
  <si>
    <t xml:space="preserve">Current benchmark</t>
  </si>
  <si>
    <t xml:space="preserve">Photon geocoder (komoot, OSM)</t>
  </si>
  <si>
    <t xml:space="preserve">komoot</t>
  </si>
  <si>
    <t xml:space="preserve">Address / place</t>
  </si>
  <si>
    <t xml:space="preserve">Search-as-you-type</t>
  </si>
  <si>
    <t xml:space="preserve">https://photon.komoot.io</t>
  </si>
  <si>
    <t xml:space="preserve">Fair use; OSM ODbL.</t>
  </si>
  <si>
    <t xml:space="preserve">live</t>
  </si>
  <si>
    <t xml:space="preserve">Nominatim is the Enter-only fallback.</t>
  </si>
  <si>
    <t xml:space="preserve">Pittsburgh zoning overlays incl. Inclusionary Zoning (IZ-O)</t>
  </si>
  <si>
    <t xml:space="preserve">City of Pittsburgh DCP</t>
  </si>
  <si>
    <t xml:space="preserve">Overlay polygon</t>
  </si>
  <si>
    <t xml:space="preserve">IZ flag, parking/height constraints</t>
  </si>
  <si>
    <t xml:space="preserve">Typology &amp; Climate; Permit Navigator</t>
  </si>
  <si>
    <t xml:space="preserve">https://services1.arcgis.com/YZCmUqbcsUpOKfj7/arcgis/rest/services/PGHWebZoningOverlays/FeatureServer/0</t>
  </si>
  <si>
    <t xml:space="preserve">Overlay types packed in one text field.</t>
  </si>
  <si>
    <t xml:space="preserve">P0; mandatory IZ in Lawrenceville, Bloomfield, Polish Hill, Oakland.</t>
  </si>
  <si>
    <t xml:space="preserve">Land &amp; development</t>
  </si>
  <si>
    <t xml:space="preserve">City parcels with vacancy / owner / zoning (ParcelsPublic)</t>
  </si>
  <si>
    <t xml:space="preserve">Buildable and public-land supply per tract</t>
  </si>
  <si>
    <t xml:space="preserve">Parcel PIN</t>
  </si>
  <si>
    <t xml:space="preserve">https://pghgishub-pittsburghpa.opendata.arcgis.com</t>
  </si>
  <si>
    <t xml:space="preserve">2026-09-21</t>
  </si>
  <si>
    <t xml:space="preserve">P0: ~31.8k vacant parcels (11,375 City-owned, 1,274 URA).</t>
  </si>
  <si>
    <t xml:space="preserve">City historic districts</t>
  </si>
  <si>
    <t xml:space="preserve">Polygon</t>
  </si>
  <si>
    <t xml:space="preserve">Design-review friction layer</t>
  </si>
  <si>
    <t xml:space="preserve">https://data.wprdc.org/dataset/8f92ae09-4cfa-4e0d-9c46-779a66d93d1e/resource/c926cfe2-e085-4808-94bc-b33895089a74/download/historic_districts.geojson</t>
  </si>
  <si>
    <t xml:space="preserve">P1.</t>
  </si>
  <si>
    <t xml:space="preserve">City ETHOS lot suitability</t>
  </si>
  <si>
    <t xml:space="preserve">Validate against the City's own view</t>
  </si>
  <si>
    <t xml:space="preserve">https://services1.arcgis.com/YZCmUqbcsUpOKfj7/arcgis/rest/services/ETHOS_Lot_Suitability/FeatureServer/0</t>
  </si>
  <si>
    <t xml:space="preserve">Landslide-prone areas (City) + Pomeroy study (County)</t>
  </si>
  <si>
    <t xml:space="preserve">City of Pittsburgh / Allegheny County / WPRDC</t>
  </si>
  <si>
    <t xml:space="preserve">City + County</t>
  </si>
  <si>
    <t xml:space="preserve">Constraint share per tract</t>
  </si>
  <si>
    <t xml:space="preserve">https://data.wprdc.org/dataset/landslide-prone-areas</t>
  </si>
  <si>
    <t xml:space="preserve">Pomeroy study is older.</t>
  </si>
  <si>
    <t xml:space="preserve">P0.</t>
  </si>
  <si>
    <t xml:space="preserve">Trees &amp; parks</t>
  </si>
  <si>
    <t xml:space="preserve">City street tree inventory</t>
  </si>
  <si>
    <t xml:space="preserve">Tree point (45,709)</t>
  </si>
  <si>
    <t xml:space="preserve">CSV/GeoJSON</t>
  </si>
  <si>
    <t xml:space="preserve">Tract tree counts and i-Tree $ benefits</t>
  </si>
  <si>
    <t xml:space="preserve">https://data.wprdc.org/dataset/city-trees</t>
  </si>
  <si>
    <t xml:space="preserve">City only.</t>
  </si>
  <si>
    <t xml:space="preserve">P0 guide stat.</t>
  </si>
  <si>
    <t xml:space="preserve">City Steps</t>
  </si>
  <si>
    <t xml:space="preserve">Point (1,134)</t>
  </si>
  <si>
    <t xml:space="preserve">Signature map layer with photos</t>
  </si>
  <si>
    <t xml:space="preserve">https://data.wprdc.org/dataset/city-steps</t>
  </si>
  <si>
    <t xml:space="preserve">P0 basemap.</t>
  </si>
  <si>
    <t xml:space="preserve">Parks, trails and greenways</t>
  </si>
  <si>
    <t xml:space="preserve">Polygon / line</t>
  </si>
  <si>
    <t xml:space="preserve">Park access and basemap richness</t>
  </si>
  <si>
    <t xml:space="preserve">https://data.wprdc.org/dataset/pittsburgh-trails</t>
  </si>
  <si>
    <t xml:space="preserve">via spatial</t>
  </si>
  <si>
    <t xml:space="preserve">P0/P1.</t>
  </si>
  <si>
    <t xml:space="preserve">PEMA 2021–23 imagery tiles</t>
  </si>
  <si>
    <t xml:space="preserve">PEMA / PASDA</t>
  </si>
  <si>
    <t xml:space="preserve">Raster tiles</t>
  </si>
  <si>
    <t xml:space="preserve">Keyless satellite toggle</t>
  </si>
  <si>
    <t xml:space="preserve">https://imagery.pasda.psu.edu/arcgis/rest/services/PEMAImagery2021_2023cache/MapServer/tile/{z}/{y}/{x}</t>
  </si>
  <si>
    <t xml:space="preserve">2021–23</t>
  </si>
  <si>
    <t xml:space="preserve">P0 (web only).</t>
  </si>
  <si>
    <t xml:space="preserve">HUD Public Housing Developments</t>
  </si>
  <si>
    <t xml:space="preserve">Development point</t>
  </si>
  <si>
    <t xml:space="preserve">Existing affordable stock</t>
  </si>
  <si>
    <t xml:space="preserve">https://services.arcgis.com/VTyQ9soqVukalItT/arcgis/rest/services/Public_Housing_Developments/FeatureServer/0</t>
  </si>
  <si>
    <t xml:space="preserve">P0: 82 developments.</t>
  </si>
  <si>
    <t xml:space="preserve">HUD Picture of Subsidized Households (tract)</t>
  </si>
  <si>
    <t xml:space="preserve">Subsidized households by program; expiring contracts</t>
  </si>
  <si>
    <t xml:space="preserve">https://www.huduser.gov/portal/datasets/assthsg.html</t>
  </si>
  <si>
    <t xml:space="preserve">2025</t>
  </si>
  <si>
    <t xml:space="preserve">P1 (incl. 202 senior stock).</t>
  </si>
  <si>
    <t xml:space="preserve">Health</t>
  </si>
  <si>
    <t xml:space="preserve">CDC PLACES 2025 (tract)</t>
  </si>
  <si>
    <t xml:space="preserve">CDC</t>
  </si>
  <si>
    <t xml:space="preserve">Socrata API</t>
  </si>
  <si>
    <t xml:space="preserve">Health and social-needs panel</t>
  </si>
  <si>
    <t xml:space="preserve">https://data.cdc.gov/500-Cities-Places/PLACES-Census-Tract-Data-GIS-Friendly-Format-2025-/yjkw-uj5s</t>
  </si>
  <si>
    <t xml:space="preserve">Modeled estimates.</t>
  </si>
  <si>
    <t xml:space="preserve">P0: 382/394 match.</t>
  </si>
  <si>
    <t xml:space="preserve">WPRDC Allegheny County Assets</t>
  </si>
  <si>
    <t xml:space="preserve">WPRDC</t>
  </si>
  <si>
    <t xml:space="preserve">Public (CC0)</t>
  </si>
  <si>
    <t xml:space="preserve">Point (32,001)</t>
  </si>
  <si>
    <t xml:space="preserve">Pharmacies, supermarkets, health, senior centers, libraries, childcare</t>
  </si>
  <si>
    <t xml:space="preserve">https://data.wprdc.org/dataset/allegheny-county-assets</t>
  </si>
  <si>
    <t xml:space="preserve">P0; better childcare coverage than OSM.</t>
  </si>
  <si>
    <t xml:space="preserve">PA child-care providers (OCDEL)</t>
  </si>
  <si>
    <t xml:space="preserve">PA Office of Child Development and Early Learning</t>
  </si>
  <si>
    <t xml:space="preserve">Provider point (718 in Allegheny)</t>
  </si>
  <si>
    <t xml:space="preserve">Early-childhood access</t>
  </si>
  <si>
    <t xml:space="preserve">https://data.pa.gov/Services-Near-You/Child-Care-Providers-including-Early-Learning-Prog/ajn5-kaxt</t>
  </si>
  <si>
    <t xml:space="preserve">Future Ready PA Index (school/district performance)</t>
  </si>
  <si>
    <t xml:space="preserve">PA Department of Education</t>
  </si>
  <si>
    <t xml:space="preserve">Official school measures (Niche replacement)</t>
  </si>
  <si>
    <t xml:space="preserve">AUN + school no.</t>
  </si>
  <si>
    <t xml:space="preserve">https://futurereadypa.org/Home/DataFiles</t>
  </si>
  <si>
    <t xml:space="preserve">No composite grade by design; show beside % economically disadvantaged.</t>
  </si>
  <si>
    <t xml:space="preserve">2024–25</t>
  </si>
  <si>
    <t xml:space="preserve">via school</t>
  </si>
  <si>
    <t xml:space="preserve">P0. Niche is link-out only (terms bar scraping).</t>
  </si>
  <si>
    <t xml:space="preserve">Pittsburgh Public Schools feeder boundaries</t>
  </si>
  <si>
    <t xml:space="preserve">PPS / WPRDC</t>
  </si>
  <si>
    <t xml:space="preserve">Attendance polygon</t>
  </si>
  <si>
    <t xml:space="preserve">SHP zip</t>
  </si>
  <si>
    <t xml:space="preserve">Stale</t>
  </si>
  <si>
    <t xml:space="preserve">Assigned schools per city tract</t>
  </si>
  <si>
    <t xml:space="preserve">https://data.wprdc.org/dataset/pittsburgh-public-schools-feeder-pattern-attendance-boundaries</t>
  </si>
  <si>
    <t xml:space="preserve">SY2012-13 boundaries; confirm with PPS.</t>
  </si>
  <si>
    <t xml:space="preserve">2012–13</t>
  </si>
  <si>
    <t xml:space="preserve">P0 with caveat.</t>
  </si>
  <si>
    <t xml:space="preserve">Community &amp; equity</t>
  </si>
  <si>
    <t xml:space="preserve">Registered Community Organization (RCO) service areas</t>
  </si>
  <si>
    <t xml:space="preserve">Polygon (44)</t>
  </si>
  <si>
    <t xml:space="preserve">'Who to call' card (CDCs, community groups)</t>
  </si>
  <si>
    <t xml:space="preserve">https://data.wprdc.org/dataset/2db3b1d4-ce51-4962-82de-db49cc883842</t>
  </si>
  <si>
    <t xml:space="preserve">HOLC redlining map (1937)</t>
  </si>
  <si>
    <t xml:space="preserve">Mapping Inequality / WPRDC</t>
  </si>
  <si>
    <t xml:space="preserve">Polygon (114)</t>
  </si>
  <si>
    <t xml:space="preserve">Validation and equity audit</t>
  </si>
  <si>
    <t xml:space="preserve">https://data.wprdc.org/dataset/redlining-maps-from-the-home-owners-loan-corporation</t>
  </si>
  <si>
    <t xml:space="preserve">1937</t>
  </si>
  <si>
    <t xml:space="preserve">PA DEP PennEnviroScreen environmental justice areas</t>
  </si>
  <si>
    <t xml:space="preserve">PA DEP</t>
  </si>
  <si>
    <t xml:space="preserve">Block group (1,062 in Allegheny)</t>
  </si>
  <si>
    <t xml:space="preserve">EJ flag (replaces EJScreen/CEJST)</t>
  </si>
  <si>
    <t xml:space="preserve">BG GEOID</t>
  </si>
  <si>
    <t xml:space="preserve">https://gis.dep.pa.gov/depgisprd/rest/services/EnviromentalJustice/EJO_PennEnviroScreenBlockGroups_v1_1/MapServer/0</t>
  </si>
  <si>
    <t xml:space="preserve">Policy finalized 2026-01-03.</t>
  </si>
  <si>
    <t xml:space="preserve">2023 v1.1</t>
  </si>
  <si>
    <t xml:space="preserve">via BG</t>
  </si>
  <si>
    <t xml:space="preserve">UCSUR neighborhood profiles 2009–13 vs 2019–23</t>
  </si>
  <si>
    <t xml:space="preserve">UCSUR / WPRDC</t>
  </si>
  <si>
    <t xml:space="preserve">Neighborhood</t>
  </si>
  <si>
    <t xml:space="preserve">Neighborhood-level ten-year change</t>
  </si>
  <si>
    <t xml:space="preserve">Neighborhood / tract index</t>
  </si>
  <si>
    <t xml:space="preserve">https://data.wprdc.org/dataset/2009-13-and-2019-23-american-community-survey-estimates-for-city-of-pittsburgh-neighborhoods</t>
  </si>
  <si>
    <t xml:space="preserve">2009–13 vs 2019–23</t>
  </si>
  <si>
    <t xml:space="preserve">via index</t>
  </si>
  <si>
    <t xml:space="preserve">Tract-level equivalent built in D8 profile_change.</t>
  </si>
  <si>
    <t xml:space="preserve">City and County council districts</t>
  </si>
  <si>
    <t xml:space="preserve">After redistricting</t>
  </si>
  <si>
    <t xml:space="preserve">'Who represents this tract'</t>
  </si>
  <si>
    <t xml:space="preserve">https://data.wprdc.org/dataset/8249c8b6-37c6-4849-abe7-c9abbcdf6197</t>
  </si>
  <si>
    <t xml:space="preserve">Food access</t>
  </si>
  <si>
    <t xml:space="preserve">USDA Food Access Research Atlas</t>
  </si>
  <si>
    <t xml:space="preserve">USDA ERS</t>
  </si>
  <si>
    <t xml:space="preserve">ZIP/XLSX</t>
  </si>
  <si>
    <t xml:space="preserve">Food-desert flags</t>
  </si>
  <si>
    <t xml:space="preserve">https://www.ers.usda.gov/data-products/food-access-research-atlas/download-the-data</t>
  </si>
  <si>
    <t xml:space="preserve">Needs 2010→2020 crosswalk.</t>
  </si>
  <si>
    <t xml:space="preserve">2019</t>
  </si>
  <si>
    <t xml:space="preserve">NCRC gentrification tracts (2019)</t>
  </si>
  <si>
    <t xml:space="preserve">NCRC</t>
  </si>
  <si>
    <t xml:space="preserve">Report / table</t>
  </si>
  <si>
    <t xml:space="preserve">Validation label</t>
  </si>
  <si>
    <t xml:space="preserve">https://ncrc.org/gentrification/</t>
  </si>
  <si>
    <t xml:space="preserve">Draws on ACS inputs (circularity).</t>
  </si>
  <si>
    <t xml:space="preserve">2000–2013</t>
  </si>
  <si>
    <t xml:space="preserve">P0 validation (hand-coded).</t>
  </si>
  <si>
    <t xml:space="preserve">AI Hackathon for Housing — Public Data Catalog</t>
  </si>
  <si>
    <t xml:space="preserve">Purpose</t>
  </si>
  <si>
    <t xml:space="preserve">A curated starting point for Pittsburgh and Allegheny County hackathon teams. It prioritizes sources that can support parcel feasibility, permitting, housing-market observatories, typology matching, equity, and climate analysis.</t>
  </si>
  <si>
    <t xml:space="preserve">Core vs. Useful</t>
  </si>
  <si>
    <t xml:space="preserve">Core sources are likely to support a central prototype workflow. Useful sources add context, validation, or specialized features.</t>
  </si>
  <si>
    <t xml:space="preserve">Public does not mean unrestricted</t>
  </si>
  <si>
    <t xml:space="preserve">Review the terms, attribution requirements, API limits, and licenses before downloading, redistributing, or publishing derived data.</t>
  </si>
  <si>
    <t xml:space="preserve">Private-company public data</t>
  </si>
  <si>
    <t xml:space="preserve">Zillow, Redfin, and Realtor.com rows refer to their public aggregate research datasets—not listing-level feeds, property APIs, or permission to scrape their consumer websites.</t>
  </si>
  <si>
    <t xml:space="preserve">Geographic joins</t>
  </si>
  <si>
    <t xml:space="preserve">Prefer stable identifiers: parcel ID for local property records and Census GEOID/FIPS for statistical geography. Keep a crosswalk when vintages differ.</t>
  </si>
  <si>
    <t xml:space="preserve">Quality rule</t>
  </si>
  <si>
    <t xml:space="preserve">Record the download date, source vintage, field definitions, missingness, revisions, and any transformations. Never let an AI-generated answer outrank an authoritative rule or source record.</t>
  </si>
  <si>
    <t xml:space="preserve">Privacy rule</t>
  </si>
  <si>
    <t xml:space="preserve">Do not publish person-level tenant, applicant, mortgage, or household data. Aggregate, suppress small cells, and document consent for contributed data.</t>
  </si>
  <si>
    <t xml:space="preserve">VisionPitts master list</t>
  </si>
  <si>
    <t xml:space="preserve">Extended by the VisionPitts team (Track 3) on 2026-09-26. The organizers' 60 rows are unchanged in columns A–N. Columns O–T record our status, and rows below the original list are sources VisionPitts added.</t>
  </si>
  <si>
    <t xml:space="preserve">VisionPitts columns</t>
  </si>
  <si>
    <t xml:space="preserve">Origin · VisionPitts status · Local path / output · Vintage in use · Tract-level? · VisionPitts notes. See the 'VisionPitts Summary' sheet for counts and the status key.</t>
  </si>
  <si>
    <t xml:space="preserve">Problem brief</t>
  </si>
  <si>
    <t xml:space="preserve">Start with these core sources</t>
  </si>
  <si>
    <t xml:space="preserve">High-value additions</t>
  </si>
  <si>
    <t xml:space="preserve">Development Feasibility &amp; Pro Forma Navigator</t>
  </si>
  <si>
    <t xml:space="preserve">County assessments, sales and parcels; Pittsburgh zoning code/map; PLI permits; OneStopPGH; FEMA flood layer; steep slopes; undermined areas</t>
  </si>
  <si>
    <t xml:space="preserve">PASDA/USGS elevation and imagery; BLS PPI; HUD income limits/FMR; Zillow, Redfin and Realtor.com aggregate markets</t>
  </si>
  <si>
    <t xml:space="preserve">Policy-to-Permit Navigator</t>
  </si>
  <si>
    <t xml:space="preserve">Pittsburgh zoning code; PLI permits; OneStopPGH; ZBA decisions; municipal codes</t>
  </si>
  <si>
    <t xml:space="preserve">Violations; condemned properties; cross-jurisdiction county GIS; historical permits</t>
  </si>
  <si>
    <t xml:space="preserve">Housing Production, Rents &amp; Household Flow Observatory</t>
  </si>
  <si>
    <t xml:space="preserve">PLI permits; ACS; Decennial Census; CHAS; county sales; Zillow ZORI/ZHVI; Redfin; Realtor.com</t>
  </si>
  <si>
    <t xml:space="preserve">USPS vacancy; LIHTC/NHPD; HMDA; LODES; Redfin migration; 311</t>
  </si>
  <si>
    <t xml:space="preserve">Housing Typology, Equity &amp; Climate Matchmaker</t>
  </si>
  <si>
    <t xml:space="preserve">ACS; CHAS; parcels/land use/zoning; PRT GTFS; LAI; FEMA; slopes; ResStock</t>
  </si>
  <si>
    <t xml:space="preserve">Opportunity Atlas; EPA EJScreen; NLCD; NOAA; schools; market-demand datasets</t>
  </si>
  <si>
    <t xml:space="preserve">Layer</t>
  </si>
  <si>
    <t xml:space="preserve">File</t>
  </si>
  <si>
    <t xml:space="preserve">Roadmap item</t>
  </si>
  <si>
    <t xml:space="preserve">Rows</t>
  </si>
  <si>
    <t xml:space="preserve">Key columns</t>
  </si>
  <si>
    <t xml:space="preserve">Sources</t>
  </si>
  <si>
    <t xml:space="preserve">Confidence</t>
  </si>
  <si>
    <t xml:space="preserve">How the dashboard uses it</t>
  </si>
  <si>
    <t xml:space="preserve">Status</t>
  </si>
  <si>
    <t xml:space="preserve">Tract factors (scored)</t>
  </si>
  <si>
    <t xml:space="preserve">data/tracts.geojson → web/src/data/tracts.json</t>
  </si>
  <si>
    <t xml:space="preserve">need, market_strength, displacement_risk, subsidy_eligible, transit_access, flood_exposure (+ _conf)</t>
  </si>
  <si>
    <t xml:space="preserve">CHAS, MVA, SVI, HCV, QCT/DDA/OZ/CDBG, GTFS, HAND</t>
  </si>
  <si>
    <t xml:space="preserve">Per factor</t>
  </si>
  <si>
    <t xml:space="preserve">Scoring, map, factor cards</t>
  </si>
  <si>
    <t xml:space="preserve">In dashboard</t>
  </si>
  <si>
    <t xml:space="preserve">ACS context</t>
  </si>
  <si>
    <t xml:space="preserve">data/processed/tracts_acs.parquet</t>
  </si>
  <si>
    <t xml:space="preserve">pop, med_hh_income, med_gross_rent, renter_share, rent_burdened_share (+ CV)</t>
  </si>
  <si>
    <t xml:space="preserve">ACS 2020–24</t>
  </si>
  <si>
    <t xml:space="preserve">CV-based</t>
  </si>
  <si>
    <t xml:space="preserve">Tract panel 'About this place'</t>
  </si>
  <si>
    <t xml:space="preserve">Terrain</t>
  </si>
  <si>
    <t xml:space="preserve">elev_mean/min/max/range_ft, slope_mean_pct, steep15/25_share</t>
  </si>
  <si>
    <t xml:space="preserve">USGS 3DEP</t>
  </si>
  <si>
    <t xml:space="preserve">Info only</t>
  </si>
  <si>
    <t xml:space="preserve">Terrain card, Elevation/Steep layers</t>
  </si>
  <si>
    <t xml:space="preserve">Evictions</t>
  </si>
  <si>
    <t xml:space="preserve">D1</t>
  </si>
  <si>
    <t xml:space="preserve">eviction_filing_rate, eviction_filing_rate_dhc20, eviction_vs_baseline, evictions_conf</t>
  </si>
  <si>
    <t xml:space="preserve">Eviction Lab ETS, Census DHC</t>
  </si>
  <si>
    <t xml:space="preserve">Medium/low</t>
  </si>
  <si>
    <t xml:space="preserve">Card + map; not yet in displacement_risk (decision pending)</t>
  </si>
  <si>
    <t xml:space="preserve">Built, not wired</t>
  </si>
  <si>
    <t xml:space="preserve">Market pressure</t>
  </si>
  <si>
    <t xml:space="preserve">data/processed/market_pressure.parquet</t>
  </si>
  <si>
    <t xml:space="preserve">D3</t>
  </si>
  <si>
    <t xml:space="preserve">pressure_lag, pressure_class, mva_trend, bivar_class, watch_list, no_rec, lisa_cluster, flip_bal_anti</t>
  </si>
  <si>
    <t xml:space="preserve">MVA, CHAS, scoring engine</t>
  </si>
  <si>
    <t xml:space="preserve">Low (screening)</t>
  </si>
  <si>
    <t xml:space="preserve">One 'Market pressure' map + watch list (58 tracts)</t>
  </si>
  <si>
    <t xml:space="preserve">Income limits &amp; FMR</t>
  </si>
  <si>
    <t xml:space="preserve">D4</t>
  </si>
  <si>
    <t xml:space="preserve">mfi, il30/il50/il80 (1–8 persons), fmr 0–4BR, affordable_rent_50ami</t>
  </si>
  <si>
    <t xml:space="preserve">HUD FY2026</t>
  </si>
  <si>
    <t xml:space="preserve">High</t>
  </si>
  <si>
    <t xml:space="preserve">Dollar line on landing and tract panel</t>
  </si>
  <si>
    <t xml:space="preserve">Neighborhood change</t>
  </si>
  <si>
    <t xml:space="preserve">data/processed/profile_change.parquet</t>
  </si>
  <si>
    <t xml:space="preserve">D8</t>
  </si>
  <si>
    <t xml:space="preserve">&lt;var&gt;_2013/_2023/_chg/_chg_sig for 13 variables</t>
  </si>
  <si>
    <t xml:space="preserve">ACS 2009–13, 2019–23, BLS CPI</t>
  </si>
  <si>
    <t xml:space="preserve">Medium</t>
  </si>
  <si>
    <t xml:space="preserve">'Ten-year change' section</t>
  </si>
  <si>
    <t xml:space="preserve">Permits &amp; demolitions</t>
  </si>
  <si>
    <t xml:space="preserve">permits_newres_&lt;year&gt;, permits_demo_&lt;year&gt;, totals</t>
  </si>
  <si>
    <t xml:space="preserve">City PLI permits</t>
  </si>
  <si>
    <t xml:space="preserve">Medium (city only)</t>
  </si>
  <si>
    <t xml:space="preserve">Bar chart on tract card</t>
  </si>
  <si>
    <t xml:space="preserve">Opportunity access</t>
  </si>
  <si>
    <t xml:space="preserve">D2</t>
  </si>
  <si>
    <t xml:space="preserve">jobs_3km_*, school_nearest_*, school_district, svc_*_800m, nearest_supermarket_m</t>
  </si>
  <si>
    <t xml:space="preserve">LODES 2023, NCES CCD 2024–25, OSM</t>
  </si>
  <si>
    <t xml:space="preserve">Per part</t>
  </si>
  <si>
    <t xml:space="preserve">'Access' section (jobs · schools · services)</t>
  </si>
  <si>
    <t xml:space="preserve">Asking rents</t>
  </si>
  <si>
    <t xml:space="preserve">data/processed/asking_rents.parquet + asking_rents_county.json</t>
  </si>
  <si>
    <t xml:space="preserve">D7</t>
  </si>
  <si>
    <t xml:space="preserve">rent_2br_&lt;year&gt;, rent_2br_2025_26, rent_2br_growth_2019_2026, rent_2br_gt_fmr, rent_index_*</t>
  </si>
  <si>
    <t xml:space="preserve">Dewey rental listings</t>
  </si>
  <si>
    <t xml:space="preserve">High/medium/low by n</t>
  </si>
  <si>
    <t xml:space="preserve">Rent card, growth map, FMR gap line</t>
  </si>
  <si>
    <t xml:space="preserve">3D buildings</t>
  </si>
  <si>
    <t xml:space="preserve">data/processed/buildings_focus.geojson → web/src/data/buildings.json</t>
  </si>
  <si>
    <t xml:space="preserve">7,588 bldgs</t>
  </si>
  <si>
    <t xml:space="preserve">h, src, yb</t>
  </si>
  <si>
    <t xml:space="preserve">Overture, parcels, assessments</t>
  </si>
  <si>
    <t xml:space="preserve">84% heights from records</t>
  </si>
  <si>
    <t xml:space="preserve">3D extrusions in focus tracts</t>
  </si>
  <si>
    <t xml:space="preserve">Place search index</t>
  </si>
  <si>
    <t xml:space="preserve">data/processed/places.json → web/src/data/places.json</t>
  </si>
  <si>
    <t xml:space="preserve">n, k, c, b, g</t>
  </si>
  <si>
    <t xml:space="preserve">WPRDC neighborhoods, Census county subdivisions</t>
  </si>
  <si>
    <t xml:space="preserve">Offline search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</si>
</sst>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7"/>
      <name val="Calibri"/>
      <family val="0"/>
      <charset val="1"/>
    </font>
    <font>
      <sz val="11"/>
      <color rgb="FF111827"/>
      <name val="Calibri"/>
      <family val="0"/>
      <charset val="1"/>
    </font>
    <font>
      <b val="true"/>
      <sz val="11"/>
      <color rgb="FF111827"/>
      <name val="Calibri"/>
      <family val="0"/>
      <charset val="1"/>
    </font>
    <font>
      <u val="single"/>
      <sz val="11"/>
      <color rgb="FF111827"/>
      <name val="Calibri"/>
      <family val="0"/>
      <charset val="1"/>
    </font>
    <font>
      <u val="single"/>
      <sz val="11"/>
      <color rgb="FF0000FF"/>
      <name val="Roboto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EDE9FE"/>
      </patternFill>
    </fill>
    <fill>
      <patternFill patternType="solid">
        <fgColor rgb="FFF3F4F6"/>
        <bgColor rgb="FFEDE9FE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thin">
        <color rgb="FFD1D5DB"/>
      </top>
      <bottom/>
      <diagonal/>
    </border>
    <border diagonalUp="false" diagonalDown="false">
      <left/>
      <right style="thin">
        <color rgb="FFD1D5DB"/>
      </right>
      <top/>
      <bottom/>
      <diagonal/>
    </border>
    <border diagonalUp="false" diagonalDown="false">
      <left style="thin">
        <color rgb="FFD1D5DB"/>
      </left>
      <right style="thin">
        <color rgb="FFD1D5DB"/>
      </right>
      <top/>
      <bottom/>
      <diagonal/>
    </border>
    <border diagonalUp="false" diagonalDown="false">
      <left style="thin">
        <color rgb="FFD1D5DB"/>
      </left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/>
      <right/>
      <top style="thin">
        <color rgb="FFE5E7EB"/>
      </top>
      <bottom style="thin">
        <color rgb="FFE5E7EB"/>
      </bottom>
      <diagonal/>
    </border>
    <border diagonalUp="false" diagonalDown="false">
      <left/>
      <right/>
      <top style="thin">
        <color rgb="FFE5E7EB"/>
      </top>
      <bottom/>
      <diagonal/>
    </border>
    <border diagonalUp="false" diagonalDown="false">
      <left/>
      <right style="thin">
        <color rgb="FFD1D5DB"/>
      </right>
      <top/>
      <bottom style="thin">
        <color rgb="FFD1D5DB"/>
      </bottom>
      <diagonal/>
    </border>
    <border diagonalUp="false" diagonalDown="false">
      <left style="thin">
        <color rgb="FFD1D5DB"/>
      </left>
      <right/>
      <top/>
      <bottom style="thin">
        <color rgb="FFD1D5DB"/>
      </bottom>
      <diagonal/>
    </border>
    <border diagonalUp="false" diagonalDown="false">
      <left/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/>
      <right style="thin">
        <color rgb="FFD1D5DB"/>
      </right>
      <top style="thin">
        <color rgb="FFD1D5DB"/>
      </top>
      <bottom/>
      <diagonal/>
    </border>
    <border diagonalUp="false" diagonalDown="false">
      <left style="thin">
        <color rgb="FFD1D5DB"/>
      </left>
      <right/>
      <top style="thin">
        <color rgb="FFD1D5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DCFCE7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EDE9FE"/>
        </patternFill>
      </fill>
    </dxf>
    <dxf>
      <fill>
        <patternFill>
          <bgColor rgb="FFF3F4F6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3F4F6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EDE9F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riefSourceMap" displayName="BriefSourceMap" ref="A1:C5" headerRowCount="1" totalsRowCount="0" totalsRowShown="0">
  <tableColumns count="3">
    <tableColumn id="1" name="Problem brief"/>
    <tableColumn id="2" name="Start with these core sources"/>
    <tableColumn id="3" name="High-value additions"/>
  </tableColumns>
</table>
</file>

<file path=xl/tables/table2.xml><?xml version="1.0" encoding="utf-8"?>
<table xmlns="http://schemas.openxmlformats.org/spreadsheetml/2006/main" id="2" name="HousingDataCatalog" displayName="HousingDataCatalog" ref="A1:T107" headerRowCount="1" totalsRowCount="0" totalsRowShown="0">
  <autoFilter ref="A1:T107"/>
  <tableColumns count="20">
    <tableColumn id="1" name="Priority"/>
    <tableColumn id="2" name="Category"/>
    <tableColumn id="3" name="Data source"/>
    <tableColumn id="4" name="Provider / steward"/>
    <tableColumn id="5" name="Provider type"/>
    <tableColumn id="6" name="Geographic coverage"/>
    <tableColumn id="7" name="Granularity"/>
    <tableColumn id="8" name="Access / format"/>
    <tableColumn id="9" name="Typical update"/>
    <tableColumn id="10" name="Primary hackathon uses"/>
    <tableColumn id="11" name="Relevant problem briefs"/>
    <tableColumn id="12" name="Likely join key"/>
    <tableColumn id="13" name="URL"/>
    <tableColumn id="14" name="Caveats / licensing notes"/>
    <tableColumn id="15" name="Origin"/>
    <tableColumn id="16" name="VisionPitts status"/>
    <tableColumn id="17" name="Local path / output"/>
    <tableColumn id="18" name="Vintage in use"/>
    <tableColumn id="19" name="Tract-level?"/>
    <tableColumn id="20" name="VisionPitts notes"/>
  </tableColumns>
</table>
</file>

<file path=xl/tables/table3.xml><?xml version="1.0" encoding="utf-8"?>
<table xmlns="http://schemas.openxmlformats.org/spreadsheetml/2006/main" id="3" name="VisionPittsLayers" displayName="VisionPittsLayers" ref="A1:I13" headerRowCount="1" totalsRowCount="0" totalsRowShown="0">
  <autoFilter ref="A1:I13"/>
  <tableColumns count="9">
    <tableColumn id="1" name="Layer"/>
    <tableColumn id="2" name="File"/>
    <tableColumn id="3" name="Roadmap item"/>
    <tableColumn id="4" name="Rows"/>
    <tableColumn id="5" name="Key columns"/>
    <tableColumn id="6" name="Sources"/>
    <tableColumn id="7" name="Confidence"/>
    <tableColumn id="8" name="How the dashboard uses it"/>
    <tableColumn id="9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ata.wprdc.org/dataset/delinquent-real-estate-taxes" TargetMode="External"/><Relationship Id="rId2" Type="http://schemas.openxmlformats.org/officeDocument/2006/relationships/hyperlink" Target="https://data.wprdc.org/dataset/city-of-pittsburgh-property-tax-delinquency" TargetMode="External"/><Relationship Id="rId3" Type="http://schemas.openxmlformats.org/officeDocument/2006/relationships/hyperlink" Target="https://data.wprdc.org/dataset/allegheny-county-mortgage-foreclosure-records" TargetMode="External"/><Relationship Id="rId4" Type="http://schemas.openxmlformats.org/officeDocument/2006/relationships/hyperlink" Target="https://data.wprdc.org/dataset/city-owned-properties" TargetMode="External"/><Relationship Id="rId5" Type="http://schemas.openxmlformats.org/officeDocument/2006/relationships/hyperlink" Target="https://www.mercatus.org/commuter-market-access-dataset" TargetMode="External"/><Relationship Id="rId6" Type="http://schemas.openxmlformats.org/officeDocument/2006/relationships/hyperlink" Target="https://access.umn.edu/ao-research/aaa" TargetMode="External"/><Relationship Id="rId7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2" t="s">
        <v>6</v>
      </c>
      <c r="B5" s="2" t="n">
        <f aca="false">COUNTIFS('Data Catalog'!$P$2:$P$107,$A5,'Data Catalog'!$O$2:$O$107,"Organizers' catalog")</f>
        <v>14</v>
      </c>
      <c r="C5" s="2" t="n">
        <f aca="false">COUNTIFS('Data Catalog'!$P$2:$P$107,$A5,'Data Catalog'!$O$2:$O$107,"Added by VisionPitts")</f>
        <v>22</v>
      </c>
      <c r="D5" s="2" t="n">
        <f aca="false">SUM(B5:C5)</f>
        <v>36</v>
      </c>
    </row>
    <row r="6" customFormat="false" ht="15" hidden="false" customHeight="false" outlineLevel="0" collapsed="false">
      <c r="A6" s="2" t="s">
        <v>7</v>
      </c>
      <c r="B6" s="2" t="n">
        <f aca="false">COUNTIFS('Data Catalog'!$P$2:$P$107,$A6,'Data Catalog'!$O$2:$O$107,"Organizers' catalog")</f>
        <v>6</v>
      </c>
      <c r="C6" s="2" t="n">
        <f aca="false">COUNTIFS('Data Catalog'!$P$2:$P$107,$A6,'Data Catalog'!$O$2:$O$107,"Added by VisionPitts")</f>
        <v>0</v>
      </c>
      <c r="D6" s="2" t="n">
        <f aca="false">SUM(B6:C6)</f>
        <v>6</v>
      </c>
    </row>
    <row r="7" customFormat="false" ht="15" hidden="false" customHeight="false" outlineLevel="0" collapsed="false">
      <c r="A7" s="2" t="s">
        <v>8</v>
      </c>
      <c r="B7" s="2" t="n">
        <f aca="false">COUNTIFS('Data Catalog'!$P$2:$P$107,$A7,'Data Catalog'!$O$2:$O$107,"Organizers' catalog")</f>
        <v>0</v>
      </c>
      <c r="C7" s="2" t="n">
        <f aca="false">COUNTIFS('Data Catalog'!$P$2:$P$107,$A7,'Data Catalog'!$O$2:$O$107,"Added by VisionPitts")</f>
        <v>1</v>
      </c>
      <c r="D7" s="2" t="n">
        <f aca="false">SUM(B7:C7)</f>
        <v>1</v>
      </c>
    </row>
    <row r="8" customFormat="false" ht="15" hidden="false" customHeight="false" outlineLevel="0" collapsed="false">
      <c r="A8" s="2" t="s">
        <v>9</v>
      </c>
      <c r="B8" s="2" t="n">
        <f aca="false">COUNTIFS('Data Catalog'!$P$2:$P$107,$A8,'Data Catalog'!$O$2:$O$107,"Organizers' catalog")</f>
        <v>11</v>
      </c>
      <c r="C8" s="2" t="n">
        <f aca="false">COUNTIFS('Data Catalog'!$P$2:$P$107,$A8,'Data Catalog'!$O$2:$O$107,"Added by VisionPitts")</f>
        <v>23</v>
      </c>
      <c r="D8" s="2" t="n">
        <f aca="false">SUM(B8:C8)</f>
        <v>34</v>
      </c>
    </row>
    <row r="9" customFormat="false" ht="15" hidden="false" customHeight="false" outlineLevel="0" collapsed="false">
      <c r="A9" s="2" t="s">
        <v>10</v>
      </c>
      <c r="B9" s="2" t="n">
        <f aca="false">COUNTIFS('Data Catalog'!$P$2:$P$107,$A9,'Data Catalog'!$O$2:$O$107,"Organizers' catalog")</f>
        <v>25</v>
      </c>
      <c r="C9" s="2" t="n">
        <f aca="false">COUNTIFS('Data Catalog'!$P$2:$P$107,$A9,'Data Catalog'!$O$2:$O$107,"Added by VisionPitts")</f>
        <v>0</v>
      </c>
      <c r="D9" s="2" t="n">
        <f aca="false">SUM(B9:C9)</f>
        <v>25</v>
      </c>
    </row>
    <row r="10" customFormat="false" ht="15" hidden="false" customHeight="false" outlineLevel="0" collapsed="false">
      <c r="A10" s="2" t="s">
        <v>11</v>
      </c>
      <c r="B10" s="2" t="n">
        <f aca="false">COUNTIFS('Data Catalog'!$P$2:$P$107,$A10,'Data Catalog'!$O$2:$O$107,"Organizers' catalog")</f>
        <v>4</v>
      </c>
      <c r="C10" s="2" t="n">
        <f aca="false">COUNTIFS('Data Catalog'!$P$2:$P$107,$A10,'Data Catalog'!$O$2:$O$107,"Added by VisionPitts")</f>
        <v>0</v>
      </c>
      <c r="D10" s="2" t="n">
        <f aca="false">SUM(B10:C10)</f>
        <v>4</v>
      </c>
    </row>
    <row r="11" customFormat="false" ht="15" hidden="false" customHeight="false" outlineLevel="0" collapsed="false">
      <c r="A11" s="4" t="s">
        <v>5</v>
      </c>
      <c r="B11" s="5" t="n">
        <f aca="false">SUM(B5:B10)</f>
        <v>60</v>
      </c>
      <c r="C11" s="5" t="n">
        <f aca="false">SUM(C5:C10)</f>
        <v>46</v>
      </c>
      <c r="D11" s="5" t="n">
        <f aca="false">SUM(D5:D10)</f>
        <v>106</v>
      </c>
    </row>
    <row r="13" customFormat="false" ht="15" hidden="false" customHeight="false" outlineLevel="0" collapsed="false">
      <c r="A13" s="2" t="s">
        <v>12</v>
      </c>
      <c r="B13" s="6" t="n">
        <f aca="false">IF(D11=0,0,D5/D11)</f>
        <v>0.339622641509434</v>
      </c>
    </row>
    <row r="14" customFormat="false" ht="15" hidden="false" customHeight="false" outlineLevel="0" collapsed="false">
      <c r="A14" s="2" t="s">
        <v>13</v>
      </c>
      <c r="B14" s="0" t="n">
        <f aca="false">D5+D6</f>
        <v>42</v>
      </c>
    </row>
    <row r="16" customFormat="false" ht="48" hidden="false" customHeight="true" outlineLevel="0" collapsed="false">
      <c r="A16" s="4" t="s">
        <v>14</v>
      </c>
      <c r="B16" s="7" t="s">
        <v>15</v>
      </c>
      <c r="C16" s="7"/>
      <c r="D16" s="7"/>
    </row>
    <row r="17" customFormat="false" ht="48" hidden="false" customHeight="true" outlineLevel="0" collapsed="false">
      <c r="A17" s="4" t="s">
        <v>16</v>
      </c>
      <c r="B17" s="7" t="s">
        <v>17</v>
      </c>
      <c r="C17" s="7"/>
      <c r="D17" s="7"/>
    </row>
    <row r="18" customFormat="false" ht="48" hidden="false" customHeight="true" outlineLevel="0" collapsed="false">
      <c r="A18" s="4" t="s">
        <v>18</v>
      </c>
      <c r="B18" s="7" t="s">
        <v>19</v>
      </c>
      <c r="C18" s="7"/>
      <c r="D18" s="7"/>
    </row>
  </sheetData>
  <mergeCells count="3"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3" activeCellId="0" sqref="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.88"/>
    <col collapsed="false" customWidth="true" hidden="false" outlineLevel="0" max="3" min="3" style="0" width="23.38"/>
    <col collapsed="false" customWidth="true" hidden="false" outlineLevel="0" max="4" min="4" style="0" width="18.88"/>
    <col collapsed="false" customWidth="true" hidden="false" outlineLevel="0" max="5" min="5" style="0" width="14.51"/>
    <col collapsed="false" customWidth="true" hidden="false" outlineLevel="0" max="6" min="6" style="0" width="13.88"/>
    <col collapsed="false" customWidth="true" hidden="false" outlineLevel="0" max="7" min="7" style="0" width="15"/>
    <col collapsed="false" customWidth="true" hidden="false" outlineLevel="0" max="8" min="8" style="0" width="16.12"/>
    <col collapsed="false" customWidth="true" hidden="false" outlineLevel="0" max="9" min="9" style="0" width="12.25"/>
    <col collapsed="false" customWidth="true" hidden="false" outlineLevel="0" max="10" min="10" style="0" width="28.88"/>
    <col collapsed="false" customWidth="true" hidden="false" outlineLevel="0" max="11" min="11" style="0" width="18.88"/>
    <col collapsed="false" customWidth="true" hidden="false" outlineLevel="0" max="12" min="12" style="0" width="17.25"/>
    <col collapsed="false" customWidth="true" hidden="false" outlineLevel="0" max="13" min="13" style="0" width="28.88"/>
    <col collapsed="false" customWidth="true" hidden="false" outlineLevel="0" max="14" min="14" style="0" width="33.38"/>
    <col collapsed="false" customWidth="true" hidden="false" outlineLevel="0" max="26" min="15" style="0" width="14"/>
  </cols>
  <sheetData>
    <row r="1" customFormat="false" ht="34.5" hidden="false" customHeight="true" outlineLevel="0" collapsed="false">
      <c r="A1" s="8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0" t="s">
        <v>33</v>
      </c>
      <c r="O1" s="11" t="s">
        <v>34</v>
      </c>
      <c r="P1" s="11" t="s">
        <v>2</v>
      </c>
      <c r="Q1" s="11" t="s">
        <v>35</v>
      </c>
      <c r="R1" s="11" t="s">
        <v>36</v>
      </c>
      <c r="S1" s="11" t="s">
        <v>37</v>
      </c>
      <c r="T1" s="11" t="s">
        <v>38</v>
      </c>
    </row>
    <row r="2" customFormat="false" ht="58.5" hidden="false" customHeight="true" outlineLevel="0" collapsed="false">
      <c r="A2" s="12" t="s">
        <v>39</v>
      </c>
      <c r="B2" s="12" t="s">
        <v>40</v>
      </c>
      <c r="C2" s="12" t="s">
        <v>41</v>
      </c>
      <c r="D2" s="12" t="s">
        <v>42</v>
      </c>
      <c r="E2" s="12" t="s">
        <v>43</v>
      </c>
      <c r="F2" s="12" t="s">
        <v>44</v>
      </c>
      <c r="G2" s="12" t="s">
        <v>45</v>
      </c>
      <c r="H2" s="12" t="s">
        <v>46</v>
      </c>
      <c r="I2" s="12" t="s">
        <v>47</v>
      </c>
      <c r="J2" s="12" t="s">
        <v>48</v>
      </c>
      <c r="K2" s="12" t="s">
        <v>49</v>
      </c>
      <c r="L2" s="12" t="s">
        <v>50</v>
      </c>
      <c r="M2" s="12" t="s">
        <v>51</v>
      </c>
      <c r="N2" s="12" t="s">
        <v>52</v>
      </c>
      <c r="O2" s="12" t="s">
        <v>3</v>
      </c>
      <c r="P2" s="12" t="s">
        <v>6</v>
      </c>
      <c r="Q2" s="12" t="s">
        <v>53</v>
      </c>
      <c r="R2" s="12" t="s">
        <v>54</v>
      </c>
      <c r="S2" s="12" t="s">
        <v>55</v>
      </c>
      <c r="T2" s="12" t="s">
        <v>56</v>
      </c>
    </row>
    <row r="3" customFormat="false" ht="58.5" hidden="false" customHeight="true" outlineLevel="0" collapsed="false">
      <c r="A3" s="13" t="s">
        <v>39</v>
      </c>
      <c r="B3" s="13" t="s">
        <v>40</v>
      </c>
      <c r="C3" s="13" t="s">
        <v>57</v>
      </c>
      <c r="D3" s="13" t="s">
        <v>42</v>
      </c>
      <c r="E3" s="13" t="s">
        <v>43</v>
      </c>
      <c r="F3" s="13" t="s">
        <v>44</v>
      </c>
      <c r="G3" s="13" t="s">
        <v>58</v>
      </c>
      <c r="H3" s="13" t="s">
        <v>46</v>
      </c>
      <c r="I3" s="13" t="s">
        <v>59</v>
      </c>
      <c r="J3" s="13" t="s">
        <v>60</v>
      </c>
      <c r="K3" s="13" t="s">
        <v>61</v>
      </c>
      <c r="L3" s="13" t="s">
        <v>62</v>
      </c>
      <c r="M3" s="13" t="s">
        <v>63</v>
      </c>
      <c r="N3" s="13" t="s">
        <v>64</v>
      </c>
      <c r="O3" s="13" t="s">
        <v>3</v>
      </c>
      <c r="P3" s="13" t="s">
        <v>9</v>
      </c>
      <c r="Q3" s="13"/>
      <c r="R3" s="13"/>
      <c r="S3" s="13" t="s">
        <v>55</v>
      </c>
      <c r="T3" s="13" t="s">
        <v>65</v>
      </c>
    </row>
    <row r="4" customFormat="false" ht="58.5" hidden="false" customHeight="true" outlineLevel="0" collapsed="false">
      <c r="A4" s="13" t="s">
        <v>39</v>
      </c>
      <c r="B4" s="13" t="s">
        <v>40</v>
      </c>
      <c r="C4" s="13" t="s">
        <v>66</v>
      </c>
      <c r="D4" s="13" t="s">
        <v>67</v>
      </c>
      <c r="E4" s="13" t="s">
        <v>43</v>
      </c>
      <c r="F4" s="13" t="s">
        <v>44</v>
      </c>
      <c r="G4" s="13" t="s">
        <v>68</v>
      </c>
      <c r="H4" s="13" t="s">
        <v>69</v>
      </c>
      <c r="I4" s="13" t="s">
        <v>70</v>
      </c>
      <c r="J4" s="13" t="s">
        <v>71</v>
      </c>
      <c r="K4" s="13" t="s">
        <v>72</v>
      </c>
      <c r="L4" s="13" t="s">
        <v>73</v>
      </c>
      <c r="M4" s="13" t="s">
        <v>74</v>
      </c>
      <c r="N4" s="13" t="s">
        <v>75</v>
      </c>
      <c r="O4" s="13" t="s">
        <v>3</v>
      </c>
      <c r="P4" s="13" t="s">
        <v>6</v>
      </c>
      <c r="Q4" s="13" t="s">
        <v>76</v>
      </c>
      <c r="R4" s="13" t="s">
        <v>77</v>
      </c>
      <c r="S4" s="13" t="s">
        <v>78</v>
      </c>
      <c r="T4" s="13" t="s">
        <v>79</v>
      </c>
    </row>
    <row r="5" customFormat="false" ht="58.5" hidden="false" customHeight="true" outlineLevel="0" collapsed="false">
      <c r="A5" s="13" t="s">
        <v>39</v>
      </c>
      <c r="B5" s="13" t="s">
        <v>40</v>
      </c>
      <c r="C5" s="13" t="s">
        <v>80</v>
      </c>
      <c r="D5" s="13" t="s">
        <v>44</v>
      </c>
      <c r="E5" s="13" t="s">
        <v>43</v>
      </c>
      <c r="F5" s="13" t="s">
        <v>44</v>
      </c>
      <c r="G5" s="13" t="s">
        <v>81</v>
      </c>
      <c r="H5" s="13" t="s">
        <v>82</v>
      </c>
      <c r="I5" s="13" t="s">
        <v>83</v>
      </c>
      <c r="J5" s="13" t="s">
        <v>84</v>
      </c>
      <c r="K5" s="13" t="s">
        <v>72</v>
      </c>
      <c r="L5" s="13" t="s">
        <v>85</v>
      </c>
      <c r="M5" s="13" t="s">
        <v>86</v>
      </c>
      <c r="N5" s="13" t="s">
        <v>87</v>
      </c>
      <c r="O5" s="13" t="s">
        <v>3</v>
      </c>
      <c r="P5" s="13" t="s">
        <v>10</v>
      </c>
      <c r="Q5" s="13"/>
      <c r="R5" s="13"/>
      <c r="S5" s="13" t="s">
        <v>88</v>
      </c>
      <c r="T5" s="13" t="s">
        <v>89</v>
      </c>
    </row>
    <row r="6" customFormat="false" ht="58.5" hidden="false" customHeight="true" outlineLevel="0" collapsed="false">
      <c r="A6" s="13" t="s">
        <v>39</v>
      </c>
      <c r="B6" s="13" t="s">
        <v>90</v>
      </c>
      <c r="C6" s="13" t="s">
        <v>91</v>
      </c>
      <c r="D6" s="13" t="s">
        <v>92</v>
      </c>
      <c r="E6" s="13" t="s">
        <v>43</v>
      </c>
      <c r="F6" s="13" t="s">
        <v>93</v>
      </c>
      <c r="G6" s="13" t="s">
        <v>94</v>
      </c>
      <c r="H6" s="13" t="s">
        <v>95</v>
      </c>
      <c r="I6" s="13" t="s">
        <v>59</v>
      </c>
      <c r="J6" s="13" t="s">
        <v>96</v>
      </c>
      <c r="K6" s="13" t="s">
        <v>97</v>
      </c>
      <c r="L6" s="13" t="s">
        <v>98</v>
      </c>
      <c r="M6" s="13" t="s">
        <v>99</v>
      </c>
      <c r="N6" s="13" t="s">
        <v>100</v>
      </c>
      <c r="O6" s="13" t="s">
        <v>3</v>
      </c>
      <c r="P6" s="13" t="s">
        <v>6</v>
      </c>
      <c r="Q6" s="13" t="s">
        <v>101</v>
      </c>
      <c r="R6" s="13" t="s">
        <v>102</v>
      </c>
      <c r="S6" s="13" t="s">
        <v>103</v>
      </c>
      <c r="T6" s="13" t="s">
        <v>104</v>
      </c>
    </row>
    <row r="7" customFormat="false" ht="58.5" hidden="false" customHeight="true" outlineLevel="0" collapsed="false">
      <c r="A7" s="13" t="s">
        <v>39</v>
      </c>
      <c r="B7" s="13" t="s">
        <v>90</v>
      </c>
      <c r="C7" s="13" t="s">
        <v>105</v>
      </c>
      <c r="D7" s="13" t="s">
        <v>92</v>
      </c>
      <c r="E7" s="13" t="s">
        <v>43</v>
      </c>
      <c r="F7" s="13" t="s">
        <v>93</v>
      </c>
      <c r="G7" s="13" t="s">
        <v>94</v>
      </c>
      <c r="H7" s="13" t="s">
        <v>106</v>
      </c>
      <c r="I7" s="13" t="s">
        <v>107</v>
      </c>
      <c r="J7" s="13" t="s">
        <v>108</v>
      </c>
      <c r="K7" s="13" t="s">
        <v>109</v>
      </c>
      <c r="L7" s="13" t="s">
        <v>110</v>
      </c>
      <c r="M7" s="13" t="s">
        <v>99</v>
      </c>
      <c r="N7" s="13" t="s">
        <v>111</v>
      </c>
      <c r="O7" s="13" t="s">
        <v>3</v>
      </c>
      <c r="P7" s="13" t="s">
        <v>10</v>
      </c>
      <c r="Q7" s="13"/>
      <c r="R7" s="13"/>
      <c r="S7" s="13" t="s">
        <v>112</v>
      </c>
      <c r="T7" s="13" t="s">
        <v>113</v>
      </c>
    </row>
    <row r="8" customFormat="false" ht="58.5" hidden="false" customHeight="true" outlineLevel="0" collapsed="false">
      <c r="A8" s="13" t="s">
        <v>39</v>
      </c>
      <c r="B8" s="13" t="s">
        <v>90</v>
      </c>
      <c r="C8" s="13" t="s">
        <v>114</v>
      </c>
      <c r="D8" s="13" t="s">
        <v>92</v>
      </c>
      <c r="E8" s="13" t="s">
        <v>43</v>
      </c>
      <c r="F8" s="13" t="s">
        <v>93</v>
      </c>
      <c r="G8" s="13" t="s">
        <v>115</v>
      </c>
      <c r="H8" s="13" t="s">
        <v>116</v>
      </c>
      <c r="I8" s="13" t="s">
        <v>59</v>
      </c>
      <c r="J8" s="13" t="s">
        <v>117</v>
      </c>
      <c r="K8" s="13" t="s">
        <v>97</v>
      </c>
      <c r="L8" s="13" t="s">
        <v>118</v>
      </c>
      <c r="M8" s="13" t="s">
        <v>119</v>
      </c>
      <c r="N8" s="13" t="s">
        <v>120</v>
      </c>
      <c r="O8" s="13" t="s">
        <v>3</v>
      </c>
      <c r="P8" s="13" t="s">
        <v>10</v>
      </c>
      <c r="Q8" s="13"/>
      <c r="R8" s="13"/>
      <c r="S8" s="13" t="s">
        <v>121</v>
      </c>
      <c r="T8" s="13"/>
    </row>
    <row r="9" customFormat="false" ht="58.5" hidden="false" customHeight="true" outlineLevel="0" collapsed="false">
      <c r="A9" s="13" t="s">
        <v>122</v>
      </c>
      <c r="B9" s="13" t="s">
        <v>90</v>
      </c>
      <c r="C9" s="13" t="s">
        <v>123</v>
      </c>
      <c r="D9" s="13" t="s">
        <v>92</v>
      </c>
      <c r="E9" s="13" t="s">
        <v>43</v>
      </c>
      <c r="F9" s="13" t="s">
        <v>93</v>
      </c>
      <c r="G9" s="13" t="s">
        <v>124</v>
      </c>
      <c r="H9" s="13" t="s">
        <v>116</v>
      </c>
      <c r="I9" s="13" t="s">
        <v>125</v>
      </c>
      <c r="J9" s="13" t="s">
        <v>126</v>
      </c>
      <c r="K9" s="13" t="s">
        <v>61</v>
      </c>
      <c r="L9" s="13" t="s">
        <v>127</v>
      </c>
      <c r="M9" s="13" t="s">
        <v>128</v>
      </c>
      <c r="N9" s="13" t="s">
        <v>129</v>
      </c>
      <c r="O9" s="13" t="s">
        <v>3</v>
      </c>
      <c r="P9" s="13" t="s">
        <v>9</v>
      </c>
      <c r="Q9" s="13"/>
      <c r="R9" s="13"/>
      <c r="S9" s="13" t="s">
        <v>130</v>
      </c>
      <c r="T9" s="13" t="s">
        <v>131</v>
      </c>
    </row>
    <row r="10" customFormat="false" ht="58.5" hidden="false" customHeight="true" outlineLevel="0" collapsed="false">
      <c r="A10" s="13" t="s">
        <v>39</v>
      </c>
      <c r="B10" s="13" t="s">
        <v>132</v>
      </c>
      <c r="C10" s="13" t="s">
        <v>133</v>
      </c>
      <c r="D10" s="13" t="s">
        <v>92</v>
      </c>
      <c r="E10" s="13" t="s">
        <v>43</v>
      </c>
      <c r="F10" s="13" t="s">
        <v>93</v>
      </c>
      <c r="G10" s="13" t="s">
        <v>134</v>
      </c>
      <c r="H10" s="13" t="s">
        <v>135</v>
      </c>
      <c r="I10" s="13" t="s">
        <v>70</v>
      </c>
      <c r="J10" s="13" t="s">
        <v>136</v>
      </c>
      <c r="K10" s="13" t="s">
        <v>137</v>
      </c>
      <c r="L10" s="13" t="s">
        <v>138</v>
      </c>
      <c r="M10" s="13" t="s">
        <v>139</v>
      </c>
      <c r="N10" s="13" t="s">
        <v>140</v>
      </c>
      <c r="O10" s="13" t="s">
        <v>3</v>
      </c>
      <c r="P10" s="13" t="s">
        <v>9</v>
      </c>
      <c r="Q10" s="13"/>
      <c r="R10" s="13" t="s">
        <v>141</v>
      </c>
      <c r="S10" s="13" t="s">
        <v>142</v>
      </c>
      <c r="T10" s="13" t="s">
        <v>143</v>
      </c>
    </row>
    <row r="11" customFormat="false" ht="58.5" hidden="false" customHeight="true" outlineLevel="0" collapsed="false">
      <c r="A11" s="13" t="s">
        <v>39</v>
      </c>
      <c r="B11" s="13" t="s">
        <v>132</v>
      </c>
      <c r="C11" s="13" t="s">
        <v>144</v>
      </c>
      <c r="D11" s="13" t="s">
        <v>93</v>
      </c>
      <c r="E11" s="13" t="s">
        <v>43</v>
      </c>
      <c r="F11" s="13" t="s">
        <v>93</v>
      </c>
      <c r="G11" s="13" t="s">
        <v>145</v>
      </c>
      <c r="H11" s="13" t="s">
        <v>146</v>
      </c>
      <c r="I11" s="13" t="s">
        <v>147</v>
      </c>
      <c r="J11" s="13" t="s">
        <v>148</v>
      </c>
      <c r="K11" s="13" t="s">
        <v>137</v>
      </c>
      <c r="L11" s="13" t="s">
        <v>149</v>
      </c>
      <c r="M11" s="13" t="s">
        <v>150</v>
      </c>
      <c r="N11" s="13" t="s">
        <v>151</v>
      </c>
      <c r="O11" s="13" t="s">
        <v>3</v>
      </c>
      <c r="P11" s="13" t="s">
        <v>7</v>
      </c>
      <c r="Q11" s="13" t="s">
        <v>152</v>
      </c>
      <c r="R11" s="13" t="s">
        <v>153</v>
      </c>
      <c r="S11" s="13" t="s">
        <v>154</v>
      </c>
      <c r="T11" s="13" t="s">
        <v>155</v>
      </c>
    </row>
    <row r="12" customFormat="false" ht="58.5" hidden="false" customHeight="true" outlineLevel="0" collapsed="false">
      <c r="A12" s="13" t="s">
        <v>122</v>
      </c>
      <c r="B12" s="13" t="s">
        <v>132</v>
      </c>
      <c r="C12" s="13" t="s">
        <v>156</v>
      </c>
      <c r="D12" s="13" t="s">
        <v>93</v>
      </c>
      <c r="E12" s="13" t="s">
        <v>43</v>
      </c>
      <c r="F12" s="13" t="s">
        <v>93</v>
      </c>
      <c r="G12" s="13" t="s">
        <v>157</v>
      </c>
      <c r="H12" s="13" t="s">
        <v>158</v>
      </c>
      <c r="I12" s="13" t="s">
        <v>159</v>
      </c>
      <c r="J12" s="13" t="s">
        <v>160</v>
      </c>
      <c r="K12" s="13" t="s">
        <v>161</v>
      </c>
      <c r="L12" s="13" t="s">
        <v>162</v>
      </c>
      <c r="M12" s="13" t="s">
        <v>163</v>
      </c>
      <c r="N12" s="13" t="s">
        <v>164</v>
      </c>
      <c r="O12" s="13" t="s">
        <v>3</v>
      </c>
      <c r="P12" s="13" t="s">
        <v>10</v>
      </c>
      <c r="Q12" s="13"/>
      <c r="R12" s="13"/>
      <c r="S12" s="13" t="s">
        <v>112</v>
      </c>
      <c r="T12" s="13"/>
    </row>
    <row r="13" customFormat="false" ht="58.5" hidden="false" customHeight="true" outlineLevel="0" collapsed="false">
      <c r="A13" s="13" t="s">
        <v>122</v>
      </c>
      <c r="B13" s="13" t="s">
        <v>132</v>
      </c>
      <c r="C13" s="13" t="s">
        <v>165</v>
      </c>
      <c r="D13" s="13" t="s">
        <v>166</v>
      </c>
      <c r="E13" s="13" t="s">
        <v>167</v>
      </c>
      <c r="F13" s="13" t="s">
        <v>168</v>
      </c>
      <c r="G13" s="13" t="s">
        <v>169</v>
      </c>
      <c r="H13" s="13" t="s">
        <v>170</v>
      </c>
      <c r="I13" s="13" t="s">
        <v>171</v>
      </c>
      <c r="J13" s="13" t="s">
        <v>172</v>
      </c>
      <c r="K13" s="13" t="s">
        <v>173</v>
      </c>
      <c r="L13" s="13" t="s">
        <v>174</v>
      </c>
      <c r="M13" s="13" t="s">
        <v>175</v>
      </c>
      <c r="N13" s="13" t="s">
        <v>176</v>
      </c>
      <c r="O13" s="13" t="s">
        <v>3</v>
      </c>
      <c r="P13" s="13" t="s">
        <v>10</v>
      </c>
      <c r="Q13" s="13"/>
      <c r="R13" s="13"/>
      <c r="S13" s="13" t="s">
        <v>112</v>
      </c>
      <c r="T13" s="13" t="s">
        <v>177</v>
      </c>
    </row>
    <row r="14" customFormat="false" ht="58.5" hidden="false" customHeight="true" outlineLevel="0" collapsed="false">
      <c r="A14" s="13" t="s">
        <v>39</v>
      </c>
      <c r="B14" s="13" t="s">
        <v>178</v>
      </c>
      <c r="C14" s="13" t="s">
        <v>179</v>
      </c>
      <c r="D14" s="13" t="s">
        <v>93</v>
      </c>
      <c r="E14" s="13" t="s">
        <v>43</v>
      </c>
      <c r="F14" s="13" t="s">
        <v>93</v>
      </c>
      <c r="G14" s="13" t="s">
        <v>180</v>
      </c>
      <c r="H14" s="13" t="s">
        <v>181</v>
      </c>
      <c r="I14" s="13" t="s">
        <v>159</v>
      </c>
      <c r="J14" s="13" t="s">
        <v>182</v>
      </c>
      <c r="K14" s="13" t="s">
        <v>97</v>
      </c>
      <c r="L14" s="13" t="s">
        <v>183</v>
      </c>
      <c r="M14" s="13" t="s">
        <v>184</v>
      </c>
      <c r="N14" s="13" t="s">
        <v>185</v>
      </c>
      <c r="O14" s="13" t="s">
        <v>3</v>
      </c>
      <c r="P14" s="13" t="s">
        <v>10</v>
      </c>
      <c r="Q14" s="13"/>
      <c r="R14" s="13"/>
      <c r="S14" s="13" t="s">
        <v>112</v>
      </c>
      <c r="T14" s="13" t="s">
        <v>186</v>
      </c>
    </row>
    <row r="15" customFormat="false" ht="58.5" hidden="false" customHeight="true" outlineLevel="0" collapsed="false">
      <c r="A15" s="13" t="s">
        <v>122</v>
      </c>
      <c r="B15" s="13" t="s">
        <v>178</v>
      </c>
      <c r="C15" s="13" t="s">
        <v>187</v>
      </c>
      <c r="D15" s="13" t="s">
        <v>92</v>
      </c>
      <c r="E15" s="13" t="s">
        <v>43</v>
      </c>
      <c r="F15" s="13" t="s">
        <v>93</v>
      </c>
      <c r="G15" s="13" t="s">
        <v>188</v>
      </c>
      <c r="H15" s="13" t="s">
        <v>189</v>
      </c>
      <c r="I15" s="13" t="s">
        <v>70</v>
      </c>
      <c r="J15" s="13" t="s">
        <v>190</v>
      </c>
      <c r="K15" s="13" t="s">
        <v>61</v>
      </c>
      <c r="L15" s="13" t="s">
        <v>191</v>
      </c>
      <c r="M15" s="13" t="s">
        <v>192</v>
      </c>
      <c r="N15" s="13" t="s">
        <v>193</v>
      </c>
      <c r="O15" s="13" t="s">
        <v>3</v>
      </c>
      <c r="P15" s="13" t="s">
        <v>9</v>
      </c>
      <c r="Q15" s="13"/>
      <c r="R15" s="13"/>
      <c r="S15" s="13" t="s">
        <v>130</v>
      </c>
      <c r="T15" s="13" t="s">
        <v>194</v>
      </c>
    </row>
    <row r="16" customFormat="false" ht="58.5" hidden="false" customHeight="true" outlineLevel="0" collapsed="false">
      <c r="A16" s="13" t="s">
        <v>122</v>
      </c>
      <c r="B16" s="13" t="s">
        <v>178</v>
      </c>
      <c r="C16" s="13" t="s">
        <v>195</v>
      </c>
      <c r="D16" s="13" t="s">
        <v>92</v>
      </c>
      <c r="E16" s="13" t="s">
        <v>43</v>
      </c>
      <c r="F16" s="13" t="s">
        <v>93</v>
      </c>
      <c r="G16" s="13" t="s">
        <v>196</v>
      </c>
      <c r="H16" s="13" t="s">
        <v>189</v>
      </c>
      <c r="I16" s="13" t="s">
        <v>70</v>
      </c>
      <c r="J16" s="13" t="s">
        <v>197</v>
      </c>
      <c r="K16" s="13" t="s">
        <v>61</v>
      </c>
      <c r="L16" s="13" t="s">
        <v>191</v>
      </c>
      <c r="M16" s="13" t="s">
        <v>198</v>
      </c>
      <c r="N16" s="13" t="s">
        <v>199</v>
      </c>
      <c r="O16" s="13" t="s">
        <v>3</v>
      </c>
      <c r="P16" s="13" t="s">
        <v>10</v>
      </c>
      <c r="Q16" s="13"/>
      <c r="R16" s="13"/>
      <c r="S16" s="13" t="s">
        <v>130</v>
      </c>
      <c r="T16" s="13"/>
    </row>
    <row r="17" customFormat="false" ht="58.5" hidden="false" customHeight="true" outlineLevel="0" collapsed="false">
      <c r="A17" s="13" t="s">
        <v>39</v>
      </c>
      <c r="B17" s="13" t="s">
        <v>200</v>
      </c>
      <c r="C17" s="13" t="s">
        <v>201</v>
      </c>
      <c r="D17" s="13" t="s">
        <v>44</v>
      </c>
      <c r="E17" s="13" t="s">
        <v>43</v>
      </c>
      <c r="F17" s="13" t="s">
        <v>202</v>
      </c>
      <c r="G17" s="13" t="s">
        <v>203</v>
      </c>
      <c r="H17" s="13" t="s">
        <v>204</v>
      </c>
      <c r="I17" s="13" t="s">
        <v>70</v>
      </c>
      <c r="J17" s="13" t="s">
        <v>205</v>
      </c>
      <c r="K17" s="13" t="s">
        <v>206</v>
      </c>
      <c r="L17" s="13" t="s">
        <v>207</v>
      </c>
      <c r="M17" s="13" t="s">
        <v>208</v>
      </c>
      <c r="N17" s="13" t="s">
        <v>209</v>
      </c>
      <c r="O17" s="13" t="s">
        <v>3</v>
      </c>
      <c r="P17" s="13" t="s">
        <v>10</v>
      </c>
      <c r="Q17" s="13"/>
      <c r="R17" s="13"/>
      <c r="S17" s="13" t="s">
        <v>112</v>
      </c>
      <c r="T17" s="13" t="s">
        <v>210</v>
      </c>
    </row>
    <row r="18" customFormat="false" ht="58.5" hidden="false" customHeight="true" outlineLevel="0" collapsed="false">
      <c r="A18" s="13" t="s">
        <v>39</v>
      </c>
      <c r="B18" s="13" t="s">
        <v>211</v>
      </c>
      <c r="C18" s="13" t="s">
        <v>212</v>
      </c>
      <c r="D18" s="13" t="s">
        <v>213</v>
      </c>
      <c r="E18" s="13" t="s">
        <v>43</v>
      </c>
      <c r="F18" s="13" t="s">
        <v>214</v>
      </c>
      <c r="G18" s="13" t="s">
        <v>215</v>
      </c>
      <c r="H18" s="13" t="s">
        <v>216</v>
      </c>
      <c r="I18" s="13" t="s">
        <v>217</v>
      </c>
      <c r="J18" s="13" t="s">
        <v>218</v>
      </c>
      <c r="K18" s="13" t="s">
        <v>206</v>
      </c>
      <c r="L18" s="13" t="s">
        <v>219</v>
      </c>
      <c r="M18" s="13" t="s">
        <v>220</v>
      </c>
      <c r="N18" s="13" t="s">
        <v>221</v>
      </c>
      <c r="O18" s="13" t="s">
        <v>3</v>
      </c>
      <c r="P18" s="13" t="s">
        <v>6</v>
      </c>
      <c r="Q18" s="13" t="s">
        <v>222</v>
      </c>
      <c r="R18" s="13" t="s">
        <v>223</v>
      </c>
      <c r="S18" s="13" t="s">
        <v>224</v>
      </c>
      <c r="T18" s="13" t="s">
        <v>225</v>
      </c>
    </row>
    <row r="19" customFormat="false" ht="58.5" hidden="false" customHeight="true" outlineLevel="0" collapsed="false">
      <c r="A19" s="13" t="s">
        <v>39</v>
      </c>
      <c r="B19" s="13" t="s">
        <v>211</v>
      </c>
      <c r="C19" s="13" t="s">
        <v>226</v>
      </c>
      <c r="D19" s="13" t="s">
        <v>213</v>
      </c>
      <c r="E19" s="13" t="s">
        <v>43</v>
      </c>
      <c r="F19" s="13" t="s">
        <v>214</v>
      </c>
      <c r="G19" s="13" t="s">
        <v>227</v>
      </c>
      <c r="H19" s="13" t="s">
        <v>216</v>
      </c>
      <c r="I19" s="13" t="s">
        <v>228</v>
      </c>
      <c r="J19" s="13" t="s">
        <v>229</v>
      </c>
      <c r="K19" s="13" t="s">
        <v>206</v>
      </c>
      <c r="L19" s="13" t="s">
        <v>219</v>
      </c>
      <c r="M19" s="13" t="s">
        <v>230</v>
      </c>
      <c r="N19" s="13" t="s">
        <v>231</v>
      </c>
      <c r="O19" s="13" t="s">
        <v>3</v>
      </c>
      <c r="P19" s="13" t="s">
        <v>6</v>
      </c>
      <c r="Q19" s="13" t="s">
        <v>232</v>
      </c>
      <c r="R19" s="13" t="s">
        <v>233</v>
      </c>
      <c r="S19" s="13" t="s">
        <v>224</v>
      </c>
      <c r="T19" s="13" t="s">
        <v>234</v>
      </c>
    </row>
    <row r="20" customFormat="false" ht="58.5" hidden="false" customHeight="true" outlineLevel="0" collapsed="false">
      <c r="A20" s="13" t="s">
        <v>39</v>
      </c>
      <c r="B20" s="13" t="s">
        <v>235</v>
      </c>
      <c r="C20" s="13" t="s">
        <v>236</v>
      </c>
      <c r="D20" s="13" t="s">
        <v>213</v>
      </c>
      <c r="E20" s="13" t="s">
        <v>43</v>
      </c>
      <c r="F20" s="13" t="s">
        <v>214</v>
      </c>
      <c r="G20" s="13" t="s">
        <v>237</v>
      </c>
      <c r="H20" s="13" t="s">
        <v>238</v>
      </c>
      <c r="I20" s="13" t="s">
        <v>217</v>
      </c>
      <c r="J20" s="13" t="s">
        <v>239</v>
      </c>
      <c r="K20" s="13" t="s">
        <v>72</v>
      </c>
      <c r="L20" s="13" t="s">
        <v>219</v>
      </c>
      <c r="M20" s="13" t="s">
        <v>240</v>
      </c>
      <c r="N20" s="13" t="s">
        <v>241</v>
      </c>
      <c r="O20" s="13" t="s">
        <v>3</v>
      </c>
      <c r="P20" s="13" t="s">
        <v>6</v>
      </c>
      <c r="Q20" s="13" t="s">
        <v>242</v>
      </c>
      <c r="R20" s="13" t="s">
        <v>243</v>
      </c>
      <c r="S20" s="13" t="s">
        <v>224</v>
      </c>
      <c r="T20" s="13" t="s">
        <v>244</v>
      </c>
    </row>
    <row r="21" customFormat="false" ht="58.5" hidden="false" customHeight="true" outlineLevel="0" collapsed="false">
      <c r="A21" s="13" t="s">
        <v>39</v>
      </c>
      <c r="B21" s="13" t="s">
        <v>245</v>
      </c>
      <c r="C21" s="13" t="s">
        <v>246</v>
      </c>
      <c r="D21" s="13" t="s">
        <v>247</v>
      </c>
      <c r="E21" s="13" t="s">
        <v>43</v>
      </c>
      <c r="F21" s="13" t="s">
        <v>214</v>
      </c>
      <c r="G21" s="13" t="s">
        <v>248</v>
      </c>
      <c r="H21" s="13" t="s">
        <v>249</v>
      </c>
      <c r="I21" s="13" t="s">
        <v>70</v>
      </c>
      <c r="J21" s="13" t="s">
        <v>250</v>
      </c>
      <c r="K21" s="13" t="s">
        <v>206</v>
      </c>
      <c r="L21" s="13" t="s">
        <v>219</v>
      </c>
      <c r="M21" s="13" t="s">
        <v>251</v>
      </c>
      <c r="N21" s="13" t="s">
        <v>252</v>
      </c>
      <c r="O21" s="13" t="s">
        <v>3</v>
      </c>
      <c r="P21" s="13" t="s">
        <v>6</v>
      </c>
      <c r="Q21" s="13" t="s">
        <v>253</v>
      </c>
      <c r="R21" s="13" t="s">
        <v>254</v>
      </c>
      <c r="S21" s="13" t="s">
        <v>224</v>
      </c>
      <c r="T21" s="13" t="s">
        <v>255</v>
      </c>
    </row>
    <row r="22" customFormat="false" ht="58.5" hidden="false" customHeight="true" outlineLevel="0" collapsed="false">
      <c r="A22" s="13" t="s">
        <v>122</v>
      </c>
      <c r="B22" s="13" t="s">
        <v>245</v>
      </c>
      <c r="C22" s="13" t="s">
        <v>256</v>
      </c>
      <c r="D22" s="13" t="s">
        <v>257</v>
      </c>
      <c r="E22" s="13" t="s">
        <v>43</v>
      </c>
      <c r="F22" s="13" t="s">
        <v>214</v>
      </c>
      <c r="G22" s="13" t="s">
        <v>258</v>
      </c>
      <c r="H22" s="13" t="s">
        <v>259</v>
      </c>
      <c r="I22" s="13" t="s">
        <v>70</v>
      </c>
      <c r="J22" s="13" t="s">
        <v>260</v>
      </c>
      <c r="K22" s="13" t="s">
        <v>261</v>
      </c>
      <c r="L22" s="13" t="s">
        <v>219</v>
      </c>
      <c r="M22" s="13" t="s">
        <v>262</v>
      </c>
      <c r="N22" s="13" t="s">
        <v>263</v>
      </c>
      <c r="O22" s="13" t="s">
        <v>3</v>
      </c>
      <c r="P22" s="13" t="s">
        <v>10</v>
      </c>
      <c r="Q22" s="13"/>
      <c r="R22" s="13"/>
      <c r="S22" s="13" t="s">
        <v>224</v>
      </c>
      <c r="T22" s="13" t="s">
        <v>264</v>
      </c>
    </row>
    <row r="23" customFormat="false" ht="58.5" hidden="false" customHeight="true" outlineLevel="0" collapsed="false">
      <c r="A23" s="13" t="s">
        <v>39</v>
      </c>
      <c r="B23" s="13" t="s">
        <v>245</v>
      </c>
      <c r="C23" s="13" t="s">
        <v>265</v>
      </c>
      <c r="D23" s="13" t="s">
        <v>247</v>
      </c>
      <c r="E23" s="13" t="s">
        <v>43</v>
      </c>
      <c r="F23" s="13" t="s">
        <v>214</v>
      </c>
      <c r="G23" s="13" t="s">
        <v>266</v>
      </c>
      <c r="H23" s="13" t="s">
        <v>267</v>
      </c>
      <c r="I23" s="13" t="s">
        <v>217</v>
      </c>
      <c r="J23" s="13" t="s">
        <v>268</v>
      </c>
      <c r="K23" s="13" t="s">
        <v>61</v>
      </c>
      <c r="L23" s="13" t="s">
        <v>269</v>
      </c>
      <c r="M23" s="13" t="s">
        <v>270</v>
      </c>
      <c r="N23" s="13" t="s">
        <v>271</v>
      </c>
      <c r="O23" s="13" t="s">
        <v>3</v>
      </c>
      <c r="P23" s="13" t="s">
        <v>6</v>
      </c>
      <c r="Q23" s="13" t="s">
        <v>272</v>
      </c>
      <c r="R23" s="13" t="s">
        <v>273</v>
      </c>
      <c r="S23" s="13" t="s">
        <v>274</v>
      </c>
      <c r="T23" s="13" t="s">
        <v>275</v>
      </c>
    </row>
    <row r="24" customFormat="false" ht="58.5" hidden="false" customHeight="true" outlineLevel="0" collapsed="false">
      <c r="A24" s="13" t="s">
        <v>122</v>
      </c>
      <c r="B24" s="13" t="s">
        <v>245</v>
      </c>
      <c r="C24" s="13" t="s">
        <v>276</v>
      </c>
      <c r="D24" s="13" t="s">
        <v>247</v>
      </c>
      <c r="E24" s="13" t="s">
        <v>43</v>
      </c>
      <c r="F24" s="13" t="s">
        <v>214</v>
      </c>
      <c r="G24" s="13" t="s">
        <v>277</v>
      </c>
      <c r="H24" s="13" t="s">
        <v>267</v>
      </c>
      <c r="I24" s="13" t="s">
        <v>217</v>
      </c>
      <c r="J24" s="13" t="s">
        <v>278</v>
      </c>
      <c r="K24" s="13" t="s">
        <v>49</v>
      </c>
      <c r="L24" s="13" t="s">
        <v>279</v>
      </c>
      <c r="M24" s="13" t="s">
        <v>280</v>
      </c>
      <c r="N24" s="13" t="s">
        <v>281</v>
      </c>
      <c r="O24" s="13" t="s">
        <v>3</v>
      </c>
      <c r="P24" s="13" t="s">
        <v>6</v>
      </c>
      <c r="Q24" s="13" t="s">
        <v>272</v>
      </c>
      <c r="R24" s="13" t="s">
        <v>273</v>
      </c>
      <c r="S24" s="13" t="s">
        <v>274</v>
      </c>
      <c r="T24" s="13" t="s">
        <v>282</v>
      </c>
    </row>
    <row r="25" customFormat="false" ht="58.5" hidden="false" customHeight="true" outlineLevel="0" collapsed="false">
      <c r="A25" s="13" t="s">
        <v>39</v>
      </c>
      <c r="B25" s="13" t="s">
        <v>283</v>
      </c>
      <c r="C25" s="13" t="s">
        <v>284</v>
      </c>
      <c r="D25" s="13" t="s">
        <v>247</v>
      </c>
      <c r="E25" s="13" t="s">
        <v>43</v>
      </c>
      <c r="F25" s="13" t="s">
        <v>214</v>
      </c>
      <c r="G25" s="13" t="s">
        <v>285</v>
      </c>
      <c r="H25" s="13" t="s">
        <v>286</v>
      </c>
      <c r="I25" s="13" t="s">
        <v>70</v>
      </c>
      <c r="J25" s="13" t="s">
        <v>287</v>
      </c>
      <c r="K25" s="13" t="s">
        <v>206</v>
      </c>
      <c r="L25" s="13" t="s">
        <v>288</v>
      </c>
      <c r="M25" s="13" t="s">
        <v>289</v>
      </c>
      <c r="N25" s="13" t="s">
        <v>290</v>
      </c>
      <c r="O25" s="13" t="s">
        <v>3</v>
      </c>
      <c r="P25" s="13" t="s">
        <v>9</v>
      </c>
      <c r="Q25" s="13"/>
      <c r="R25" s="13" t="s">
        <v>291</v>
      </c>
      <c r="S25" s="13" t="s">
        <v>292</v>
      </c>
      <c r="T25" s="13" t="s">
        <v>293</v>
      </c>
    </row>
    <row r="26" customFormat="false" ht="58.5" hidden="false" customHeight="true" outlineLevel="0" collapsed="false">
      <c r="A26" s="13" t="s">
        <v>122</v>
      </c>
      <c r="B26" s="13" t="s">
        <v>283</v>
      </c>
      <c r="C26" s="13" t="s">
        <v>294</v>
      </c>
      <c r="D26" s="13" t="s">
        <v>295</v>
      </c>
      <c r="E26" s="13" t="s">
        <v>296</v>
      </c>
      <c r="F26" s="13" t="s">
        <v>214</v>
      </c>
      <c r="G26" s="13" t="s">
        <v>297</v>
      </c>
      <c r="H26" s="13" t="s">
        <v>298</v>
      </c>
      <c r="I26" s="13" t="s">
        <v>70</v>
      </c>
      <c r="J26" s="13" t="s">
        <v>299</v>
      </c>
      <c r="K26" s="13" t="s">
        <v>206</v>
      </c>
      <c r="L26" s="13" t="s">
        <v>300</v>
      </c>
      <c r="M26" s="13" t="s">
        <v>301</v>
      </c>
      <c r="N26" s="13" t="s">
        <v>302</v>
      </c>
      <c r="O26" s="13" t="s">
        <v>3</v>
      </c>
      <c r="P26" s="13" t="s">
        <v>10</v>
      </c>
      <c r="Q26" s="13"/>
      <c r="R26" s="13"/>
      <c r="S26" s="13" t="s">
        <v>292</v>
      </c>
      <c r="T26" s="13" t="s">
        <v>303</v>
      </c>
    </row>
    <row r="27" customFormat="false" ht="58.5" hidden="false" customHeight="true" outlineLevel="0" collapsed="false">
      <c r="A27" s="13" t="s">
        <v>122</v>
      </c>
      <c r="B27" s="13" t="s">
        <v>304</v>
      </c>
      <c r="C27" s="13" t="s">
        <v>305</v>
      </c>
      <c r="D27" s="13" t="s">
        <v>306</v>
      </c>
      <c r="E27" s="13" t="s">
        <v>307</v>
      </c>
      <c r="F27" s="13" t="s">
        <v>214</v>
      </c>
      <c r="G27" s="13" t="s">
        <v>308</v>
      </c>
      <c r="H27" s="13" t="s">
        <v>309</v>
      </c>
      <c r="I27" s="13" t="s">
        <v>310</v>
      </c>
      <c r="J27" s="13" t="s">
        <v>311</v>
      </c>
      <c r="K27" s="13" t="s">
        <v>206</v>
      </c>
      <c r="L27" s="13" t="s">
        <v>219</v>
      </c>
      <c r="M27" s="13" t="s">
        <v>312</v>
      </c>
      <c r="N27" s="13" t="s">
        <v>313</v>
      </c>
      <c r="O27" s="13" t="s">
        <v>3</v>
      </c>
      <c r="P27" s="13" t="s">
        <v>9</v>
      </c>
      <c r="Q27" s="13"/>
      <c r="R27" s="13" t="s">
        <v>314</v>
      </c>
      <c r="S27" s="13" t="s">
        <v>224</v>
      </c>
      <c r="T27" s="13" t="s">
        <v>315</v>
      </c>
    </row>
    <row r="28" customFormat="false" ht="58.5" hidden="false" customHeight="true" outlineLevel="0" collapsed="false">
      <c r="A28" s="13" t="s">
        <v>39</v>
      </c>
      <c r="B28" s="13" t="s">
        <v>316</v>
      </c>
      <c r="C28" s="13" t="s">
        <v>317</v>
      </c>
      <c r="D28" s="13" t="s">
        <v>318</v>
      </c>
      <c r="E28" s="13" t="s">
        <v>43</v>
      </c>
      <c r="F28" s="13" t="s">
        <v>214</v>
      </c>
      <c r="G28" s="13" t="s">
        <v>319</v>
      </c>
      <c r="H28" s="13" t="s">
        <v>320</v>
      </c>
      <c r="I28" s="13" t="s">
        <v>217</v>
      </c>
      <c r="J28" s="13" t="s">
        <v>321</v>
      </c>
      <c r="K28" s="13" t="s">
        <v>61</v>
      </c>
      <c r="L28" s="13" t="s">
        <v>322</v>
      </c>
      <c r="M28" s="13" t="s">
        <v>323</v>
      </c>
      <c r="N28" s="13" t="s">
        <v>324</v>
      </c>
      <c r="O28" s="13" t="s">
        <v>3</v>
      </c>
      <c r="P28" s="13" t="s">
        <v>10</v>
      </c>
      <c r="Q28" s="13"/>
      <c r="R28" s="13"/>
      <c r="S28" s="13" t="s">
        <v>224</v>
      </c>
      <c r="T28" s="13" t="s">
        <v>325</v>
      </c>
    </row>
    <row r="29" customFormat="false" ht="58.5" hidden="false" customHeight="true" outlineLevel="0" collapsed="false">
      <c r="A29" s="13" t="s">
        <v>122</v>
      </c>
      <c r="B29" s="13" t="s">
        <v>326</v>
      </c>
      <c r="C29" s="13" t="s">
        <v>327</v>
      </c>
      <c r="D29" s="13" t="s">
        <v>213</v>
      </c>
      <c r="E29" s="13" t="s">
        <v>43</v>
      </c>
      <c r="F29" s="13" t="s">
        <v>214</v>
      </c>
      <c r="G29" s="13" t="s">
        <v>328</v>
      </c>
      <c r="H29" s="13" t="s">
        <v>329</v>
      </c>
      <c r="I29" s="13" t="s">
        <v>217</v>
      </c>
      <c r="J29" s="13" t="s">
        <v>330</v>
      </c>
      <c r="K29" s="13" t="s">
        <v>206</v>
      </c>
      <c r="L29" s="13" t="s">
        <v>331</v>
      </c>
      <c r="M29" s="13" t="s">
        <v>332</v>
      </c>
      <c r="N29" s="13" t="s">
        <v>333</v>
      </c>
      <c r="O29" s="13" t="s">
        <v>3</v>
      </c>
      <c r="P29" s="13" t="s">
        <v>6</v>
      </c>
      <c r="Q29" s="13" t="s">
        <v>334</v>
      </c>
      <c r="R29" s="13" t="s">
        <v>335</v>
      </c>
      <c r="S29" s="13" t="s">
        <v>336</v>
      </c>
      <c r="T29" s="13" t="s">
        <v>337</v>
      </c>
    </row>
    <row r="30" customFormat="false" ht="58.5" hidden="false" customHeight="true" outlineLevel="0" collapsed="false">
      <c r="A30" s="13" t="s">
        <v>122</v>
      </c>
      <c r="B30" s="13" t="s">
        <v>338</v>
      </c>
      <c r="C30" s="13" t="s">
        <v>339</v>
      </c>
      <c r="D30" s="13" t="s">
        <v>340</v>
      </c>
      <c r="E30" s="13" t="s">
        <v>43</v>
      </c>
      <c r="F30" s="13" t="s">
        <v>214</v>
      </c>
      <c r="G30" s="13" t="s">
        <v>341</v>
      </c>
      <c r="H30" s="13" t="s">
        <v>342</v>
      </c>
      <c r="I30" s="13" t="s">
        <v>310</v>
      </c>
      <c r="J30" s="13" t="s">
        <v>343</v>
      </c>
      <c r="K30" s="13" t="s">
        <v>206</v>
      </c>
      <c r="L30" s="13" t="s">
        <v>344</v>
      </c>
      <c r="M30" s="13" t="s">
        <v>345</v>
      </c>
      <c r="N30" s="13" t="s">
        <v>346</v>
      </c>
      <c r="O30" s="13" t="s">
        <v>3</v>
      </c>
      <c r="P30" s="13" t="s">
        <v>11</v>
      </c>
      <c r="Q30" s="13"/>
      <c r="R30" s="13"/>
      <c r="S30" s="13" t="s">
        <v>112</v>
      </c>
      <c r="T30" s="13" t="s">
        <v>347</v>
      </c>
    </row>
    <row r="31" customFormat="false" ht="58.5" hidden="false" customHeight="true" outlineLevel="0" collapsed="false">
      <c r="A31" s="13" t="s">
        <v>122</v>
      </c>
      <c r="B31" s="13" t="s">
        <v>348</v>
      </c>
      <c r="C31" s="13" t="s">
        <v>349</v>
      </c>
      <c r="D31" s="13" t="s">
        <v>340</v>
      </c>
      <c r="E31" s="13" t="s">
        <v>43</v>
      </c>
      <c r="F31" s="13" t="s">
        <v>214</v>
      </c>
      <c r="G31" s="13" t="s">
        <v>350</v>
      </c>
      <c r="H31" s="13" t="s">
        <v>216</v>
      </c>
      <c r="I31" s="13" t="s">
        <v>351</v>
      </c>
      <c r="J31" s="13" t="s">
        <v>352</v>
      </c>
      <c r="K31" s="13" t="s">
        <v>353</v>
      </c>
      <c r="L31" s="13" t="s">
        <v>354</v>
      </c>
      <c r="M31" s="13" t="s">
        <v>355</v>
      </c>
      <c r="N31" s="13" t="s">
        <v>356</v>
      </c>
      <c r="O31" s="13" t="s">
        <v>3</v>
      </c>
      <c r="P31" s="13" t="s">
        <v>11</v>
      </c>
      <c r="Q31" s="13"/>
      <c r="R31" s="13"/>
      <c r="S31" s="13" t="s">
        <v>112</v>
      </c>
      <c r="T31" s="13" t="s">
        <v>357</v>
      </c>
    </row>
    <row r="32" customFormat="false" ht="58.5" hidden="false" customHeight="true" outlineLevel="0" collapsed="false">
      <c r="A32" s="13" t="s">
        <v>39</v>
      </c>
      <c r="B32" s="13" t="s">
        <v>358</v>
      </c>
      <c r="C32" s="13" t="s">
        <v>359</v>
      </c>
      <c r="D32" s="13" t="s">
        <v>360</v>
      </c>
      <c r="E32" s="13" t="s">
        <v>43</v>
      </c>
      <c r="F32" s="13" t="s">
        <v>361</v>
      </c>
      <c r="G32" s="13" t="s">
        <v>362</v>
      </c>
      <c r="H32" s="13" t="s">
        <v>363</v>
      </c>
      <c r="I32" s="13" t="s">
        <v>364</v>
      </c>
      <c r="J32" s="13" t="s">
        <v>365</v>
      </c>
      <c r="K32" s="13" t="s">
        <v>261</v>
      </c>
      <c r="L32" s="13" t="s">
        <v>366</v>
      </c>
      <c r="M32" s="13" t="s">
        <v>367</v>
      </c>
      <c r="N32" s="13" t="s">
        <v>368</v>
      </c>
      <c r="O32" s="13" t="s">
        <v>3</v>
      </c>
      <c r="P32" s="13" t="s">
        <v>6</v>
      </c>
      <c r="Q32" s="13" t="s">
        <v>369</v>
      </c>
      <c r="R32" s="13" t="s">
        <v>370</v>
      </c>
      <c r="S32" s="13" t="s">
        <v>224</v>
      </c>
      <c r="T32" s="13" t="s">
        <v>371</v>
      </c>
    </row>
    <row r="33" customFormat="false" ht="58.5" hidden="false" customHeight="true" outlineLevel="0" collapsed="false">
      <c r="A33" s="13" t="s">
        <v>122</v>
      </c>
      <c r="B33" s="13" t="s">
        <v>372</v>
      </c>
      <c r="C33" s="13" t="s">
        <v>373</v>
      </c>
      <c r="D33" s="13" t="s">
        <v>374</v>
      </c>
      <c r="E33" s="13" t="s">
        <v>43</v>
      </c>
      <c r="F33" s="13" t="s">
        <v>375</v>
      </c>
      <c r="G33" s="13" t="s">
        <v>376</v>
      </c>
      <c r="H33" s="13" t="s">
        <v>377</v>
      </c>
      <c r="I33" s="13" t="s">
        <v>83</v>
      </c>
      <c r="J33" s="13" t="s">
        <v>378</v>
      </c>
      <c r="K33" s="13" t="s">
        <v>49</v>
      </c>
      <c r="L33" s="13" t="s">
        <v>379</v>
      </c>
      <c r="M33" s="13" t="s">
        <v>380</v>
      </c>
      <c r="N33" s="13" t="s">
        <v>381</v>
      </c>
      <c r="O33" s="13" t="s">
        <v>3</v>
      </c>
      <c r="P33" s="13" t="s">
        <v>10</v>
      </c>
      <c r="Q33" s="13"/>
      <c r="R33" s="13"/>
      <c r="S33" s="13" t="s">
        <v>112</v>
      </c>
      <c r="T33" s="13" t="s">
        <v>382</v>
      </c>
    </row>
    <row r="34" customFormat="false" ht="58.5" hidden="false" customHeight="true" outlineLevel="0" collapsed="false">
      <c r="A34" s="13" t="s">
        <v>122</v>
      </c>
      <c r="B34" s="13" t="s">
        <v>383</v>
      </c>
      <c r="C34" s="13" t="s">
        <v>384</v>
      </c>
      <c r="D34" s="13" t="s">
        <v>385</v>
      </c>
      <c r="E34" s="13" t="s">
        <v>386</v>
      </c>
      <c r="F34" s="13" t="s">
        <v>387</v>
      </c>
      <c r="G34" s="13" t="s">
        <v>388</v>
      </c>
      <c r="H34" s="13" t="s">
        <v>389</v>
      </c>
      <c r="I34" s="13" t="s">
        <v>390</v>
      </c>
      <c r="J34" s="13" t="s">
        <v>391</v>
      </c>
      <c r="K34" s="13" t="s">
        <v>72</v>
      </c>
      <c r="L34" s="13" t="s">
        <v>392</v>
      </c>
      <c r="M34" s="13" t="s">
        <v>393</v>
      </c>
      <c r="N34" s="13" t="s">
        <v>394</v>
      </c>
      <c r="O34" s="13" t="s">
        <v>3</v>
      </c>
      <c r="P34" s="13" t="s">
        <v>6</v>
      </c>
      <c r="Q34" s="13" t="s">
        <v>395</v>
      </c>
      <c r="R34" s="13" t="s">
        <v>396</v>
      </c>
      <c r="S34" s="13" t="s">
        <v>397</v>
      </c>
      <c r="T34" s="13" t="s">
        <v>398</v>
      </c>
    </row>
    <row r="35" customFormat="false" ht="58.5" hidden="false" customHeight="true" outlineLevel="0" collapsed="false">
      <c r="A35" s="13" t="s">
        <v>122</v>
      </c>
      <c r="B35" s="13" t="s">
        <v>399</v>
      </c>
      <c r="C35" s="13" t="s">
        <v>400</v>
      </c>
      <c r="D35" s="13" t="s">
        <v>401</v>
      </c>
      <c r="E35" s="13" t="s">
        <v>402</v>
      </c>
      <c r="F35" s="13" t="s">
        <v>387</v>
      </c>
      <c r="G35" s="13" t="s">
        <v>403</v>
      </c>
      <c r="H35" s="13" t="s">
        <v>404</v>
      </c>
      <c r="I35" s="13" t="s">
        <v>83</v>
      </c>
      <c r="J35" s="13" t="s">
        <v>405</v>
      </c>
      <c r="K35" s="13" t="s">
        <v>72</v>
      </c>
      <c r="L35" s="13" t="s">
        <v>406</v>
      </c>
      <c r="M35" s="13" t="s">
        <v>407</v>
      </c>
      <c r="N35" s="13" t="s">
        <v>408</v>
      </c>
      <c r="O35" s="13" t="s">
        <v>3</v>
      </c>
      <c r="P35" s="13" t="s">
        <v>10</v>
      </c>
      <c r="Q35" s="13"/>
      <c r="R35" s="13"/>
      <c r="S35" s="13" t="s">
        <v>112</v>
      </c>
      <c r="T35" s="13" t="s">
        <v>409</v>
      </c>
    </row>
    <row r="36" customFormat="false" ht="58.5" hidden="false" customHeight="true" outlineLevel="0" collapsed="false">
      <c r="A36" s="13" t="s">
        <v>39</v>
      </c>
      <c r="B36" s="13" t="s">
        <v>410</v>
      </c>
      <c r="C36" s="13" t="s">
        <v>411</v>
      </c>
      <c r="D36" s="13" t="s">
        <v>412</v>
      </c>
      <c r="E36" s="13" t="s">
        <v>43</v>
      </c>
      <c r="F36" s="13" t="s">
        <v>375</v>
      </c>
      <c r="G36" s="13" t="s">
        <v>413</v>
      </c>
      <c r="H36" s="13" t="s">
        <v>414</v>
      </c>
      <c r="I36" s="13" t="s">
        <v>83</v>
      </c>
      <c r="J36" s="13" t="s">
        <v>415</v>
      </c>
      <c r="K36" s="13" t="s">
        <v>49</v>
      </c>
      <c r="L36" s="13" t="s">
        <v>416</v>
      </c>
      <c r="M36" s="13" t="s">
        <v>417</v>
      </c>
      <c r="N36" s="13" t="s">
        <v>418</v>
      </c>
      <c r="O36" s="13" t="s">
        <v>3</v>
      </c>
      <c r="P36" s="13" t="s">
        <v>7</v>
      </c>
      <c r="Q36" s="13"/>
      <c r="R36" s="13"/>
      <c r="S36" s="13" t="s">
        <v>88</v>
      </c>
      <c r="T36" s="13" t="s">
        <v>419</v>
      </c>
    </row>
    <row r="37" customFormat="false" ht="58.5" hidden="false" customHeight="true" outlineLevel="0" collapsed="false">
      <c r="A37" s="13" t="s">
        <v>39</v>
      </c>
      <c r="B37" s="13" t="s">
        <v>410</v>
      </c>
      <c r="C37" s="13" t="s">
        <v>420</v>
      </c>
      <c r="D37" s="13" t="s">
        <v>421</v>
      </c>
      <c r="E37" s="13" t="s">
        <v>43</v>
      </c>
      <c r="F37" s="13" t="s">
        <v>214</v>
      </c>
      <c r="G37" s="13" t="s">
        <v>422</v>
      </c>
      <c r="H37" s="13" t="s">
        <v>423</v>
      </c>
      <c r="I37" s="13" t="s">
        <v>70</v>
      </c>
      <c r="J37" s="13" t="s">
        <v>424</v>
      </c>
      <c r="K37" s="13" t="s">
        <v>49</v>
      </c>
      <c r="L37" s="13" t="s">
        <v>425</v>
      </c>
      <c r="M37" s="13" t="s">
        <v>426</v>
      </c>
      <c r="N37" s="13" t="s">
        <v>427</v>
      </c>
      <c r="O37" s="13" t="s">
        <v>3</v>
      </c>
      <c r="P37" s="13" t="s">
        <v>6</v>
      </c>
      <c r="Q37" s="13" t="s">
        <v>428</v>
      </c>
      <c r="R37" s="13" t="s">
        <v>429</v>
      </c>
      <c r="S37" s="13" t="s">
        <v>224</v>
      </c>
      <c r="T37" s="13" t="s">
        <v>430</v>
      </c>
    </row>
    <row r="38" customFormat="false" ht="58.5" hidden="false" customHeight="true" outlineLevel="0" collapsed="false">
      <c r="A38" s="13" t="s">
        <v>122</v>
      </c>
      <c r="B38" s="13" t="s">
        <v>410</v>
      </c>
      <c r="C38" s="13" t="s">
        <v>431</v>
      </c>
      <c r="D38" s="13" t="s">
        <v>432</v>
      </c>
      <c r="E38" s="13" t="s">
        <v>43</v>
      </c>
      <c r="F38" s="13" t="s">
        <v>44</v>
      </c>
      <c r="G38" s="13" t="s">
        <v>433</v>
      </c>
      <c r="H38" s="13" t="s">
        <v>434</v>
      </c>
      <c r="I38" s="13" t="s">
        <v>435</v>
      </c>
      <c r="J38" s="13" t="s">
        <v>436</v>
      </c>
      <c r="K38" s="13" t="s">
        <v>61</v>
      </c>
      <c r="L38" s="13" t="s">
        <v>437</v>
      </c>
      <c r="M38" s="13" t="s">
        <v>438</v>
      </c>
      <c r="N38" s="13" t="s">
        <v>439</v>
      </c>
      <c r="O38" s="13" t="s">
        <v>3</v>
      </c>
      <c r="P38" s="13" t="s">
        <v>7</v>
      </c>
      <c r="Q38" s="13" t="s">
        <v>440</v>
      </c>
      <c r="R38" s="13" t="s">
        <v>441</v>
      </c>
      <c r="S38" s="13" t="s">
        <v>442</v>
      </c>
      <c r="T38" s="13" t="s">
        <v>443</v>
      </c>
    </row>
    <row r="39" customFormat="false" ht="58.5" hidden="false" customHeight="true" outlineLevel="0" collapsed="false">
      <c r="A39" s="13" t="s">
        <v>39</v>
      </c>
      <c r="B39" s="13" t="s">
        <v>444</v>
      </c>
      <c r="C39" s="13" t="s">
        <v>445</v>
      </c>
      <c r="D39" s="13" t="s">
        <v>446</v>
      </c>
      <c r="E39" s="13" t="s">
        <v>43</v>
      </c>
      <c r="F39" s="13" t="s">
        <v>214</v>
      </c>
      <c r="G39" s="13" t="s">
        <v>447</v>
      </c>
      <c r="H39" s="13" t="s">
        <v>448</v>
      </c>
      <c r="I39" s="13" t="s">
        <v>449</v>
      </c>
      <c r="J39" s="13" t="s">
        <v>450</v>
      </c>
      <c r="K39" s="13" t="s">
        <v>49</v>
      </c>
      <c r="L39" s="13" t="s">
        <v>451</v>
      </c>
      <c r="M39" s="13" t="s">
        <v>452</v>
      </c>
      <c r="N39" s="13" t="s">
        <v>453</v>
      </c>
      <c r="O39" s="13" t="s">
        <v>3</v>
      </c>
      <c r="P39" s="13" t="s">
        <v>9</v>
      </c>
      <c r="Q39" s="13"/>
      <c r="R39" s="13" t="s">
        <v>454</v>
      </c>
      <c r="S39" s="13" t="s">
        <v>142</v>
      </c>
      <c r="T39" s="13" t="s">
        <v>455</v>
      </c>
    </row>
    <row r="40" customFormat="false" ht="58.5" hidden="false" customHeight="true" outlineLevel="0" collapsed="false">
      <c r="A40" s="13" t="s">
        <v>122</v>
      </c>
      <c r="B40" s="13" t="s">
        <v>444</v>
      </c>
      <c r="C40" s="13" t="s">
        <v>456</v>
      </c>
      <c r="D40" s="13" t="s">
        <v>457</v>
      </c>
      <c r="E40" s="13" t="s">
        <v>43</v>
      </c>
      <c r="F40" s="13" t="s">
        <v>375</v>
      </c>
      <c r="G40" s="13" t="s">
        <v>458</v>
      </c>
      <c r="H40" s="13" t="s">
        <v>459</v>
      </c>
      <c r="I40" s="13" t="s">
        <v>83</v>
      </c>
      <c r="J40" s="13" t="s">
        <v>460</v>
      </c>
      <c r="K40" s="13" t="s">
        <v>49</v>
      </c>
      <c r="L40" s="13" t="s">
        <v>461</v>
      </c>
      <c r="M40" s="13" t="s">
        <v>462</v>
      </c>
      <c r="N40" s="13" t="s">
        <v>463</v>
      </c>
      <c r="O40" s="13" t="s">
        <v>3</v>
      </c>
      <c r="P40" s="13" t="s">
        <v>10</v>
      </c>
      <c r="Q40" s="13"/>
      <c r="R40" s="13"/>
      <c r="S40" s="13" t="s">
        <v>88</v>
      </c>
      <c r="T40" s="13" t="s">
        <v>464</v>
      </c>
    </row>
    <row r="41" customFormat="false" ht="58.5" hidden="false" customHeight="true" outlineLevel="0" collapsed="false">
      <c r="A41" s="13" t="s">
        <v>39</v>
      </c>
      <c r="B41" s="13" t="s">
        <v>444</v>
      </c>
      <c r="C41" s="13" t="s">
        <v>465</v>
      </c>
      <c r="D41" s="13" t="s">
        <v>92</v>
      </c>
      <c r="E41" s="13" t="s">
        <v>43</v>
      </c>
      <c r="F41" s="13" t="s">
        <v>93</v>
      </c>
      <c r="G41" s="13" t="s">
        <v>466</v>
      </c>
      <c r="H41" s="13" t="s">
        <v>259</v>
      </c>
      <c r="I41" s="13" t="s">
        <v>70</v>
      </c>
      <c r="J41" s="13" t="s">
        <v>467</v>
      </c>
      <c r="K41" s="13" t="s">
        <v>49</v>
      </c>
      <c r="L41" s="13" t="s">
        <v>425</v>
      </c>
      <c r="M41" s="13" t="s">
        <v>468</v>
      </c>
      <c r="N41" s="13" t="s">
        <v>469</v>
      </c>
      <c r="O41" s="13" t="s">
        <v>3</v>
      </c>
      <c r="P41" s="13" t="s">
        <v>7</v>
      </c>
      <c r="Q41" s="13" t="s">
        <v>470</v>
      </c>
      <c r="R41" s="13" t="s">
        <v>471</v>
      </c>
      <c r="S41" s="13" t="s">
        <v>142</v>
      </c>
      <c r="T41" s="13" t="s">
        <v>472</v>
      </c>
    </row>
    <row r="42" customFormat="false" ht="58.5" hidden="false" customHeight="true" outlineLevel="0" collapsed="false">
      <c r="A42" s="13" t="s">
        <v>39</v>
      </c>
      <c r="B42" s="13" t="s">
        <v>444</v>
      </c>
      <c r="C42" s="13" t="s">
        <v>473</v>
      </c>
      <c r="D42" s="13" t="s">
        <v>474</v>
      </c>
      <c r="E42" s="13" t="s">
        <v>43</v>
      </c>
      <c r="F42" s="13" t="s">
        <v>475</v>
      </c>
      <c r="G42" s="13" t="s">
        <v>476</v>
      </c>
      <c r="H42" s="13" t="s">
        <v>259</v>
      </c>
      <c r="I42" s="13" t="s">
        <v>70</v>
      </c>
      <c r="J42" s="13" t="s">
        <v>477</v>
      </c>
      <c r="K42" s="13" t="s">
        <v>49</v>
      </c>
      <c r="L42" s="13" t="s">
        <v>425</v>
      </c>
      <c r="M42" s="13" t="s">
        <v>478</v>
      </c>
      <c r="N42" s="13" t="s">
        <v>479</v>
      </c>
      <c r="O42" s="13" t="s">
        <v>3</v>
      </c>
      <c r="P42" s="13" t="s">
        <v>9</v>
      </c>
      <c r="Q42" s="13"/>
      <c r="R42" s="13"/>
      <c r="S42" s="13" t="s">
        <v>142</v>
      </c>
      <c r="T42" s="13" t="s">
        <v>480</v>
      </c>
    </row>
    <row r="43" customFormat="false" ht="58.5" hidden="false" customHeight="true" outlineLevel="0" collapsed="false">
      <c r="A43" s="13" t="s">
        <v>122</v>
      </c>
      <c r="B43" s="13" t="s">
        <v>444</v>
      </c>
      <c r="C43" s="13" t="s">
        <v>481</v>
      </c>
      <c r="D43" s="13" t="s">
        <v>482</v>
      </c>
      <c r="E43" s="13" t="s">
        <v>43</v>
      </c>
      <c r="F43" s="13" t="s">
        <v>214</v>
      </c>
      <c r="G43" s="13" t="s">
        <v>483</v>
      </c>
      <c r="H43" s="13" t="s">
        <v>484</v>
      </c>
      <c r="I43" s="13" t="s">
        <v>217</v>
      </c>
      <c r="J43" s="13" t="s">
        <v>485</v>
      </c>
      <c r="K43" s="13" t="s">
        <v>261</v>
      </c>
      <c r="L43" s="13" t="s">
        <v>219</v>
      </c>
      <c r="M43" s="13" t="s">
        <v>486</v>
      </c>
      <c r="N43" s="13" t="s">
        <v>487</v>
      </c>
      <c r="O43" s="13" t="s">
        <v>3</v>
      </c>
      <c r="P43" s="13" t="s">
        <v>11</v>
      </c>
      <c r="Q43" s="13"/>
      <c r="R43" s="13"/>
      <c r="S43" s="13" t="s">
        <v>224</v>
      </c>
      <c r="T43" s="13" t="s">
        <v>488</v>
      </c>
    </row>
    <row r="44" customFormat="false" ht="58.5" hidden="false" customHeight="true" outlineLevel="0" collapsed="false">
      <c r="A44" s="13" t="s">
        <v>122</v>
      </c>
      <c r="B44" s="13" t="s">
        <v>489</v>
      </c>
      <c r="C44" s="13" t="s">
        <v>490</v>
      </c>
      <c r="D44" s="13" t="s">
        <v>491</v>
      </c>
      <c r="E44" s="13" t="s">
        <v>43</v>
      </c>
      <c r="F44" s="13" t="s">
        <v>214</v>
      </c>
      <c r="G44" s="13" t="s">
        <v>492</v>
      </c>
      <c r="H44" s="13" t="s">
        <v>493</v>
      </c>
      <c r="I44" s="13" t="s">
        <v>70</v>
      </c>
      <c r="J44" s="13" t="s">
        <v>494</v>
      </c>
      <c r="K44" s="13" t="s">
        <v>495</v>
      </c>
      <c r="L44" s="13" t="s">
        <v>425</v>
      </c>
      <c r="M44" s="13" t="s">
        <v>496</v>
      </c>
      <c r="N44" s="13" t="s">
        <v>497</v>
      </c>
      <c r="O44" s="13" t="s">
        <v>3</v>
      </c>
      <c r="P44" s="13" t="s">
        <v>7</v>
      </c>
      <c r="Q44" s="13" t="s">
        <v>498</v>
      </c>
      <c r="R44" s="13" t="s">
        <v>499</v>
      </c>
      <c r="S44" s="13" t="s">
        <v>224</v>
      </c>
      <c r="T44" s="13" t="s">
        <v>500</v>
      </c>
    </row>
    <row r="45" customFormat="false" ht="58.5" hidden="false" customHeight="true" outlineLevel="0" collapsed="false">
      <c r="A45" s="13" t="s">
        <v>122</v>
      </c>
      <c r="B45" s="13" t="s">
        <v>501</v>
      </c>
      <c r="C45" s="13" t="s">
        <v>502</v>
      </c>
      <c r="D45" s="13" t="s">
        <v>503</v>
      </c>
      <c r="E45" s="13" t="s">
        <v>43</v>
      </c>
      <c r="F45" s="13" t="s">
        <v>214</v>
      </c>
      <c r="G45" s="13" t="s">
        <v>504</v>
      </c>
      <c r="H45" s="13" t="s">
        <v>216</v>
      </c>
      <c r="I45" s="13" t="s">
        <v>505</v>
      </c>
      <c r="J45" s="13" t="s">
        <v>506</v>
      </c>
      <c r="K45" s="13" t="s">
        <v>495</v>
      </c>
      <c r="L45" s="13" t="s">
        <v>507</v>
      </c>
      <c r="M45" s="13" t="s">
        <v>508</v>
      </c>
      <c r="N45" s="13" t="s">
        <v>509</v>
      </c>
      <c r="O45" s="13" t="s">
        <v>3</v>
      </c>
      <c r="P45" s="13" t="s">
        <v>10</v>
      </c>
      <c r="Q45" s="13"/>
      <c r="R45" s="13"/>
      <c r="S45" s="13" t="s">
        <v>112</v>
      </c>
      <c r="T45" s="13"/>
    </row>
    <row r="46" customFormat="false" ht="58.5" hidden="false" customHeight="true" outlineLevel="0" collapsed="false">
      <c r="A46" s="13" t="s">
        <v>122</v>
      </c>
      <c r="B46" s="13" t="s">
        <v>510</v>
      </c>
      <c r="C46" s="13" t="s">
        <v>511</v>
      </c>
      <c r="D46" s="13" t="s">
        <v>512</v>
      </c>
      <c r="E46" s="13" t="s">
        <v>43</v>
      </c>
      <c r="F46" s="13" t="s">
        <v>214</v>
      </c>
      <c r="G46" s="13" t="s">
        <v>513</v>
      </c>
      <c r="H46" s="13" t="s">
        <v>514</v>
      </c>
      <c r="I46" s="13" t="s">
        <v>515</v>
      </c>
      <c r="J46" s="13" t="s">
        <v>516</v>
      </c>
      <c r="K46" s="13" t="s">
        <v>517</v>
      </c>
      <c r="L46" s="13" t="s">
        <v>518</v>
      </c>
      <c r="M46" s="13" t="s">
        <v>519</v>
      </c>
      <c r="N46" s="13" t="s">
        <v>520</v>
      </c>
      <c r="O46" s="13" t="s">
        <v>3</v>
      </c>
      <c r="P46" s="13" t="s">
        <v>10</v>
      </c>
      <c r="Q46" s="13"/>
      <c r="R46" s="13"/>
      <c r="S46" s="13" t="s">
        <v>112</v>
      </c>
      <c r="T46" s="13" t="s">
        <v>521</v>
      </c>
    </row>
    <row r="47" customFormat="false" ht="58.5" hidden="false" customHeight="true" outlineLevel="0" collapsed="false">
      <c r="A47" s="13" t="s">
        <v>39</v>
      </c>
      <c r="B47" s="13" t="s">
        <v>522</v>
      </c>
      <c r="C47" s="13" t="s">
        <v>523</v>
      </c>
      <c r="D47" s="13" t="s">
        <v>524</v>
      </c>
      <c r="E47" s="13" t="s">
        <v>525</v>
      </c>
      <c r="F47" s="13" t="s">
        <v>214</v>
      </c>
      <c r="G47" s="13" t="s">
        <v>526</v>
      </c>
      <c r="H47" s="13" t="s">
        <v>527</v>
      </c>
      <c r="I47" s="13" t="s">
        <v>528</v>
      </c>
      <c r="J47" s="13" t="s">
        <v>529</v>
      </c>
      <c r="K47" s="13" t="s">
        <v>530</v>
      </c>
      <c r="L47" s="13" t="s">
        <v>531</v>
      </c>
      <c r="M47" s="13" t="s">
        <v>532</v>
      </c>
      <c r="N47" s="13" t="s">
        <v>533</v>
      </c>
      <c r="O47" s="13" t="s">
        <v>3</v>
      </c>
      <c r="P47" s="13" t="s">
        <v>7</v>
      </c>
      <c r="Q47" s="13" t="s">
        <v>534</v>
      </c>
      <c r="R47" s="13" t="s">
        <v>535</v>
      </c>
      <c r="S47" s="13" t="s">
        <v>536</v>
      </c>
      <c r="T47" s="13" t="s">
        <v>537</v>
      </c>
    </row>
    <row r="48" customFormat="false" ht="58.5" hidden="false" customHeight="true" outlineLevel="0" collapsed="false">
      <c r="A48" s="13" t="s">
        <v>39</v>
      </c>
      <c r="B48" s="13" t="s">
        <v>522</v>
      </c>
      <c r="C48" s="13" t="s">
        <v>538</v>
      </c>
      <c r="D48" s="13" t="s">
        <v>539</v>
      </c>
      <c r="E48" s="13" t="s">
        <v>525</v>
      </c>
      <c r="F48" s="13" t="s">
        <v>214</v>
      </c>
      <c r="G48" s="13" t="s">
        <v>540</v>
      </c>
      <c r="H48" s="13" t="s">
        <v>541</v>
      </c>
      <c r="I48" s="13" t="s">
        <v>542</v>
      </c>
      <c r="J48" s="13" t="s">
        <v>543</v>
      </c>
      <c r="K48" s="13" t="s">
        <v>530</v>
      </c>
      <c r="L48" s="13" t="s">
        <v>544</v>
      </c>
      <c r="M48" s="13" t="s">
        <v>545</v>
      </c>
      <c r="N48" s="13" t="s">
        <v>546</v>
      </c>
      <c r="O48" s="13" t="s">
        <v>3</v>
      </c>
      <c r="P48" s="13" t="s">
        <v>10</v>
      </c>
      <c r="Q48" s="13"/>
      <c r="R48" s="13"/>
      <c r="S48" s="13" t="s">
        <v>547</v>
      </c>
      <c r="T48" s="13"/>
    </row>
    <row r="49" customFormat="false" ht="58.5" hidden="false" customHeight="true" outlineLevel="0" collapsed="false">
      <c r="A49" s="13" t="s">
        <v>122</v>
      </c>
      <c r="B49" s="13" t="s">
        <v>522</v>
      </c>
      <c r="C49" s="13" t="s">
        <v>548</v>
      </c>
      <c r="D49" s="13" t="s">
        <v>539</v>
      </c>
      <c r="E49" s="13" t="s">
        <v>525</v>
      </c>
      <c r="F49" s="13" t="s">
        <v>214</v>
      </c>
      <c r="G49" s="13" t="s">
        <v>549</v>
      </c>
      <c r="H49" s="13" t="s">
        <v>550</v>
      </c>
      <c r="I49" s="13" t="s">
        <v>70</v>
      </c>
      <c r="J49" s="13" t="s">
        <v>551</v>
      </c>
      <c r="K49" s="13" t="s">
        <v>206</v>
      </c>
      <c r="L49" s="13" t="s">
        <v>552</v>
      </c>
      <c r="M49" s="13" t="s">
        <v>553</v>
      </c>
      <c r="N49" s="13" t="s">
        <v>554</v>
      </c>
      <c r="O49" s="13" t="s">
        <v>3</v>
      </c>
      <c r="P49" s="13" t="s">
        <v>10</v>
      </c>
      <c r="Q49" s="13"/>
      <c r="R49" s="13"/>
      <c r="S49" s="13" t="s">
        <v>112</v>
      </c>
      <c r="T49" s="13" t="s">
        <v>555</v>
      </c>
    </row>
    <row r="50" customFormat="false" ht="58.5" hidden="false" customHeight="true" outlineLevel="0" collapsed="false">
      <c r="A50" s="13" t="s">
        <v>39</v>
      </c>
      <c r="B50" s="13" t="s">
        <v>522</v>
      </c>
      <c r="C50" s="13" t="s">
        <v>556</v>
      </c>
      <c r="D50" s="13" t="s">
        <v>557</v>
      </c>
      <c r="E50" s="13" t="s">
        <v>525</v>
      </c>
      <c r="F50" s="13" t="s">
        <v>214</v>
      </c>
      <c r="G50" s="13" t="s">
        <v>558</v>
      </c>
      <c r="H50" s="13" t="s">
        <v>527</v>
      </c>
      <c r="I50" s="13" t="s">
        <v>559</v>
      </c>
      <c r="J50" s="13" t="s">
        <v>560</v>
      </c>
      <c r="K50" s="13" t="s">
        <v>530</v>
      </c>
      <c r="L50" s="13" t="s">
        <v>561</v>
      </c>
      <c r="M50" s="13" t="s">
        <v>562</v>
      </c>
      <c r="N50" s="13" t="s">
        <v>563</v>
      </c>
      <c r="O50" s="13" t="s">
        <v>3</v>
      </c>
      <c r="P50" s="13" t="s">
        <v>10</v>
      </c>
      <c r="Q50" s="13"/>
      <c r="R50" s="13"/>
      <c r="S50" s="13" t="s">
        <v>547</v>
      </c>
      <c r="T50" s="13"/>
    </row>
    <row r="51" customFormat="false" ht="58.5" hidden="false" customHeight="true" outlineLevel="0" collapsed="false">
      <c r="A51" s="13" t="s">
        <v>122</v>
      </c>
      <c r="B51" s="13" t="s">
        <v>564</v>
      </c>
      <c r="C51" s="13" t="s">
        <v>565</v>
      </c>
      <c r="D51" s="13" t="s">
        <v>566</v>
      </c>
      <c r="E51" s="13" t="s">
        <v>567</v>
      </c>
      <c r="F51" s="13" t="s">
        <v>214</v>
      </c>
      <c r="G51" s="13" t="s">
        <v>568</v>
      </c>
      <c r="H51" s="13" t="s">
        <v>569</v>
      </c>
      <c r="I51" s="13" t="s">
        <v>570</v>
      </c>
      <c r="J51" s="13" t="s">
        <v>571</v>
      </c>
      <c r="K51" s="13" t="s">
        <v>61</v>
      </c>
      <c r="L51" s="13" t="s">
        <v>572</v>
      </c>
      <c r="M51" s="13" t="s">
        <v>573</v>
      </c>
      <c r="N51" s="13" t="s">
        <v>574</v>
      </c>
      <c r="O51" s="13" t="s">
        <v>3</v>
      </c>
      <c r="P51" s="13" t="s">
        <v>11</v>
      </c>
      <c r="Q51" s="13"/>
      <c r="R51" s="13"/>
      <c r="S51" s="13" t="s">
        <v>112</v>
      </c>
      <c r="T51" s="13" t="s">
        <v>575</v>
      </c>
    </row>
    <row r="52" customFormat="false" ht="58.5" hidden="false" customHeight="true" outlineLevel="0" collapsed="false">
      <c r="A52" s="13" t="s">
        <v>122</v>
      </c>
      <c r="B52" s="13" t="s">
        <v>576</v>
      </c>
      <c r="C52" s="13" t="s">
        <v>577</v>
      </c>
      <c r="D52" s="13" t="s">
        <v>578</v>
      </c>
      <c r="E52" s="13" t="s">
        <v>43</v>
      </c>
      <c r="F52" s="13" t="s">
        <v>214</v>
      </c>
      <c r="G52" s="13" t="s">
        <v>579</v>
      </c>
      <c r="H52" s="13" t="s">
        <v>267</v>
      </c>
      <c r="I52" s="13" t="s">
        <v>580</v>
      </c>
      <c r="J52" s="13" t="s">
        <v>581</v>
      </c>
      <c r="K52" s="13" t="s">
        <v>582</v>
      </c>
      <c r="L52" s="13" t="s">
        <v>583</v>
      </c>
      <c r="M52" s="13" t="s">
        <v>584</v>
      </c>
      <c r="N52" s="13" t="s">
        <v>585</v>
      </c>
      <c r="O52" s="13" t="s">
        <v>3</v>
      </c>
      <c r="P52" s="13" t="s">
        <v>9</v>
      </c>
      <c r="Q52" s="13"/>
      <c r="R52" s="13" t="s">
        <v>586</v>
      </c>
      <c r="S52" s="13" t="s">
        <v>587</v>
      </c>
      <c r="T52" s="13" t="s">
        <v>588</v>
      </c>
    </row>
    <row r="53" customFormat="false" ht="58.5" hidden="false" customHeight="true" outlineLevel="0" collapsed="false">
      <c r="A53" s="13" t="s">
        <v>122</v>
      </c>
      <c r="B53" s="13" t="s">
        <v>589</v>
      </c>
      <c r="C53" s="13" t="s">
        <v>590</v>
      </c>
      <c r="D53" s="13" t="s">
        <v>591</v>
      </c>
      <c r="E53" s="13" t="s">
        <v>592</v>
      </c>
      <c r="F53" s="13" t="s">
        <v>214</v>
      </c>
      <c r="G53" s="13" t="s">
        <v>308</v>
      </c>
      <c r="H53" s="13" t="s">
        <v>593</v>
      </c>
      <c r="I53" s="13" t="s">
        <v>594</v>
      </c>
      <c r="J53" s="13" t="s">
        <v>595</v>
      </c>
      <c r="K53" s="13" t="s">
        <v>261</v>
      </c>
      <c r="L53" s="13" t="s">
        <v>596</v>
      </c>
      <c r="M53" s="13" t="s">
        <v>597</v>
      </c>
      <c r="N53" s="13" t="s">
        <v>598</v>
      </c>
      <c r="O53" s="13" t="s">
        <v>3</v>
      </c>
      <c r="P53" s="13" t="s">
        <v>10</v>
      </c>
      <c r="Q53" s="13"/>
      <c r="R53" s="13"/>
      <c r="S53" s="13" t="s">
        <v>599</v>
      </c>
      <c r="T53" s="13" t="s">
        <v>600</v>
      </c>
    </row>
    <row r="54" customFormat="false" ht="58.5" hidden="false" customHeight="true" outlineLevel="0" collapsed="false">
      <c r="A54" s="13" t="s">
        <v>122</v>
      </c>
      <c r="B54" s="13" t="s">
        <v>601</v>
      </c>
      <c r="C54" s="13" t="s">
        <v>602</v>
      </c>
      <c r="D54" s="13" t="s">
        <v>92</v>
      </c>
      <c r="E54" s="13" t="s">
        <v>43</v>
      </c>
      <c r="F54" s="13" t="s">
        <v>93</v>
      </c>
      <c r="G54" s="13" t="s">
        <v>603</v>
      </c>
      <c r="H54" s="13" t="s">
        <v>46</v>
      </c>
      <c r="I54" s="13" t="s">
        <v>125</v>
      </c>
      <c r="J54" s="13" t="s">
        <v>604</v>
      </c>
      <c r="K54" s="13" t="s">
        <v>206</v>
      </c>
      <c r="L54" s="13" t="s">
        <v>605</v>
      </c>
      <c r="M54" s="13" t="s">
        <v>606</v>
      </c>
      <c r="N54" s="13" t="s">
        <v>607</v>
      </c>
      <c r="O54" s="13" t="s">
        <v>3</v>
      </c>
      <c r="P54" s="13" t="s">
        <v>10</v>
      </c>
      <c r="Q54" s="13"/>
      <c r="R54" s="13"/>
      <c r="S54" s="13" t="s">
        <v>292</v>
      </c>
      <c r="T54" s="13" t="s">
        <v>608</v>
      </c>
    </row>
    <row r="55" customFormat="false" ht="58.5" hidden="false" customHeight="true" outlineLevel="0" collapsed="false">
      <c r="A55" s="14" t="s">
        <v>122</v>
      </c>
      <c r="B55" s="14" t="s">
        <v>609</v>
      </c>
      <c r="C55" s="14" t="s">
        <v>610</v>
      </c>
      <c r="D55" s="14" t="s">
        <v>611</v>
      </c>
      <c r="E55" s="14" t="s">
        <v>43</v>
      </c>
      <c r="F55" s="14" t="s">
        <v>214</v>
      </c>
      <c r="G55" s="14" t="s">
        <v>612</v>
      </c>
      <c r="H55" s="14" t="s">
        <v>613</v>
      </c>
      <c r="I55" s="14" t="s">
        <v>217</v>
      </c>
      <c r="J55" s="14" t="s">
        <v>614</v>
      </c>
      <c r="K55" s="14" t="s">
        <v>495</v>
      </c>
      <c r="L55" s="14" t="s">
        <v>615</v>
      </c>
      <c r="M55" s="14" t="s">
        <v>616</v>
      </c>
      <c r="N55" s="14" t="s">
        <v>617</v>
      </c>
      <c r="O55" s="14" t="s">
        <v>3</v>
      </c>
      <c r="P55" s="14" t="s">
        <v>6</v>
      </c>
      <c r="Q55" s="14" t="s">
        <v>334</v>
      </c>
      <c r="R55" s="14" t="s">
        <v>618</v>
      </c>
      <c r="S55" s="14" t="s">
        <v>619</v>
      </c>
      <c r="T55" s="14" t="s">
        <v>620</v>
      </c>
    </row>
    <row r="56" customFormat="false" ht="15.75" hidden="false" customHeight="true" outlineLevel="0" collapsed="false">
      <c r="A56" s="13" t="s">
        <v>39</v>
      </c>
      <c r="B56" s="13" t="s">
        <v>304</v>
      </c>
      <c r="C56" s="15" t="s">
        <v>621</v>
      </c>
      <c r="D56" s="15" t="s">
        <v>622</v>
      </c>
      <c r="E56" s="14" t="s">
        <v>43</v>
      </c>
      <c r="F56" s="15" t="s">
        <v>44</v>
      </c>
      <c r="G56" s="15" t="s">
        <v>45</v>
      </c>
      <c r="H56" s="13" t="s">
        <v>46</v>
      </c>
      <c r="I56" s="15" t="s">
        <v>570</v>
      </c>
      <c r="J56" s="15" t="s">
        <v>623</v>
      </c>
      <c r="K56" s="15"/>
      <c r="L56" s="15" t="s">
        <v>73</v>
      </c>
      <c r="M56" s="16" t="s">
        <v>624</v>
      </c>
      <c r="N56" s="15"/>
      <c r="O56" s="13" t="s">
        <v>3</v>
      </c>
      <c r="P56" s="13" t="s">
        <v>9</v>
      </c>
      <c r="Q56" s="13"/>
      <c r="R56" s="13"/>
      <c r="S56" s="13" t="s">
        <v>130</v>
      </c>
      <c r="T56" s="13" t="s">
        <v>625</v>
      </c>
    </row>
    <row r="57" customFormat="false" ht="15.75" hidden="false" customHeight="true" outlineLevel="0" collapsed="false">
      <c r="A57" s="13" t="s">
        <v>39</v>
      </c>
      <c r="B57" s="13" t="s">
        <v>304</v>
      </c>
      <c r="C57" s="15" t="s">
        <v>626</v>
      </c>
      <c r="D57" s="15" t="s">
        <v>93</v>
      </c>
      <c r="E57" s="14" t="s">
        <v>43</v>
      </c>
      <c r="F57" s="15" t="s">
        <v>627</v>
      </c>
      <c r="G57" s="15" t="s">
        <v>45</v>
      </c>
      <c r="H57" s="13" t="s">
        <v>46</v>
      </c>
      <c r="I57" s="15" t="s">
        <v>570</v>
      </c>
      <c r="J57" s="15" t="s">
        <v>623</v>
      </c>
      <c r="K57" s="15"/>
      <c r="L57" s="15" t="s">
        <v>73</v>
      </c>
      <c r="M57" s="16" t="s">
        <v>628</v>
      </c>
      <c r="N57" s="15" t="s">
        <v>629</v>
      </c>
      <c r="O57" s="13" t="s">
        <v>3</v>
      </c>
      <c r="P57" s="13" t="s">
        <v>10</v>
      </c>
      <c r="Q57" s="13"/>
      <c r="R57" s="13"/>
      <c r="S57" s="13" t="s">
        <v>130</v>
      </c>
      <c r="T57" s="13"/>
    </row>
    <row r="58" customFormat="false" ht="15.75" hidden="false" customHeight="true" outlineLevel="0" collapsed="false">
      <c r="A58" s="13" t="s">
        <v>39</v>
      </c>
      <c r="B58" s="13" t="s">
        <v>304</v>
      </c>
      <c r="C58" s="15" t="s">
        <v>630</v>
      </c>
      <c r="D58" s="15" t="s">
        <v>44</v>
      </c>
      <c r="E58" s="14" t="s">
        <v>43</v>
      </c>
      <c r="F58" s="15" t="s">
        <v>44</v>
      </c>
      <c r="G58" s="15" t="s">
        <v>45</v>
      </c>
      <c r="H58" s="13" t="s">
        <v>46</v>
      </c>
      <c r="I58" s="15" t="s">
        <v>351</v>
      </c>
      <c r="J58" s="15" t="s">
        <v>623</v>
      </c>
      <c r="K58" s="15"/>
      <c r="L58" s="15" t="s">
        <v>73</v>
      </c>
      <c r="M58" s="17" t="s">
        <v>631</v>
      </c>
      <c r="N58" s="15" t="s">
        <v>632</v>
      </c>
      <c r="O58" s="13" t="s">
        <v>3</v>
      </c>
      <c r="P58" s="13" t="s">
        <v>10</v>
      </c>
      <c r="Q58" s="13"/>
      <c r="R58" s="13"/>
      <c r="S58" s="13" t="s">
        <v>130</v>
      </c>
      <c r="T58" s="13" t="s">
        <v>625</v>
      </c>
    </row>
    <row r="59" customFormat="false" ht="15.75" hidden="false" customHeight="true" outlineLevel="0" collapsed="false">
      <c r="A59" s="13" t="s">
        <v>39</v>
      </c>
      <c r="B59" s="13" t="s">
        <v>304</v>
      </c>
      <c r="C59" s="15" t="s">
        <v>633</v>
      </c>
      <c r="D59" s="15" t="s">
        <v>93</v>
      </c>
      <c r="E59" s="15" t="s">
        <v>43</v>
      </c>
      <c r="F59" s="15" t="s">
        <v>93</v>
      </c>
      <c r="G59" s="15" t="s">
        <v>45</v>
      </c>
      <c r="H59" s="13" t="s">
        <v>46</v>
      </c>
      <c r="I59" s="15" t="s">
        <v>59</v>
      </c>
      <c r="J59" s="15" t="s">
        <v>634</v>
      </c>
      <c r="K59" s="15"/>
      <c r="L59" s="15" t="s">
        <v>73</v>
      </c>
      <c r="M59" s="17" t="s">
        <v>192</v>
      </c>
      <c r="N59" s="15"/>
      <c r="O59" s="13" t="s">
        <v>3</v>
      </c>
      <c r="P59" s="13" t="s">
        <v>9</v>
      </c>
      <c r="Q59" s="13"/>
      <c r="R59" s="13"/>
      <c r="S59" s="13" t="s">
        <v>130</v>
      </c>
      <c r="T59" s="13" t="s">
        <v>635</v>
      </c>
    </row>
    <row r="60" customFormat="false" ht="15.75" hidden="false" customHeight="true" outlineLevel="0" collapsed="false">
      <c r="A60" s="13" t="s">
        <v>122</v>
      </c>
      <c r="B60" s="13" t="s">
        <v>326</v>
      </c>
      <c r="C60" s="13" t="s">
        <v>636</v>
      </c>
      <c r="D60" s="13" t="s">
        <v>637</v>
      </c>
      <c r="E60" s="13" t="s">
        <v>638</v>
      </c>
      <c r="F60" s="13" t="s">
        <v>639</v>
      </c>
      <c r="G60" s="13" t="s">
        <v>640</v>
      </c>
      <c r="H60" s="13" t="s">
        <v>641</v>
      </c>
      <c r="I60" s="13" t="s">
        <v>642</v>
      </c>
      <c r="J60" s="13" t="s">
        <v>643</v>
      </c>
      <c r="K60" s="13" t="s">
        <v>644</v>
      </c>
      <c r="L60" s="13" t="s">
        <v>596</v>
      </c>
      <c r="M60" s="18" t="s">
        <v>645</v>
      </c>
      <c r="N60" s="13" t="s">
        <v>646</v>
      </c>
      <c r="O60" s="13" t="s">
        <v>3</v>
      </c>
      <c r="P60" s="13" t="s">
        <v>10</v>
      </c>
      <c r="Q60" s="13"/>
      <c r="R60" s="13"/>
      <c r="S60" s="13"/>
      <c r="T60" s="13"/>
    </row>
    <row r="61" customFormat="false" ht="15.75" hidden="false" customHeight="true" outlineLevel="0" collapsed="false">
      <c r="A61" s="13" t="s">
        <v>122</v>
      </c>
      <c r="B61" s="13" t="s">
        <v>326</v>
      </c>
      <c r="C61" s="13" t="s">
        <v>647</v>
      </c>
      <c r="D61" s="13" t="s">
        <v>648</v>
      </c>
      <c r="E61" s="13" t="s">
        <v>649</v>
      </c>
      <c r="F61" s="13" t="s">
        <v>650</v>
      </c>
      <c r="G61" s="13" t="s">
        <v>651</v>
      </c>
      <c r="H61" s="13" t="s">
        <v>652</v>
      </c>
      <c r="I61" s="13" t="s">
        <v>653</v>
      </c>
      <c r="J61" s="13" t="s">
        <v>654</v>
      </c>
      <c r="K61" s="13" t="s">
        <v>644</v>
      </c>
      <c r="L61" s="13" t="s">
        <v>655</v>
      </c>
      <c r="M61" s="18" t="s">
        <v>656</v>
      </c>
      <c r="N61" s="13" t="s">
        <v>657</v>
      </c>
      <c r="O61" s="13" t="s">
        <v>3</v>
      </c>
      <c r="P61" s="13" t="s">
        <v>10</v>
      </c>
      <c r="Q61" s="13"/>
      <c r="R61" s="13"/>
      <c r="S61" s="13" t="s">
        <v>658</v>
      </c>
      <c r="T61" s="13"/>
    </row>
    <row r="62" customFormat="false" ht="58.5" hidden="false" customHeight="true" outlineLevel="0" collapsed="false">
      <c r="A62" s="12" t="s">
        <v>39</v>
      </c>
      <c r="B62" s="12" t="s">
        <v>659</v>
      </c>
      <c r="C62" s="12" t="s">
        <v>660</v>
      </c>
      <c r="D62" s="12" t="s">
        <v>661</v>
      </c>
      <c r="E62" s="12" t="s">
        <v>43</v>
      </c>
      <c r="F62" s="12" t="s">
        <v>214</v>
      </c>
      <c r="G62" s="12" t="s">
        <v>662</v>
      </c>
      <c r="H62" s="12" t="s">
        <v>663</v>
      </c>
      <c r="I62" s="12" t="s">
        <v>664</v>
      </c>
      <c r="J62" s="12" t="s">
        <v>665</v>
      </c>
      <c r="K62" s="12" t="s">
        <v>261</v>
      </c>
      <c r="L62" s="12" t="s">
        <v>219</v>
      </c>
      <c r="M62" s="12" t="s">
        <v>666</v>
      </c>
      <c r="N62" s="12" t="s">
        <v>667</v>
      </c>
      <c r="O62" s="12" t="s">
        <v>4</v>
      </c>
      <c r="P62" s="12" t="s">
        <v>6</v>
      </c>
      <c r="Q62" s="12" t="s">
        <v>668</v>
      </c>
      <c r="R62" s="12" t="s">
        <v>669</v>
      </c>
      <c r="S62" s="12" t="s">
        <v>224</v>
      </c>
      <c r="T62" s="12" t="s">
        <v>670</v>
      </c>
    </row>
    <row r="63" customFormat="false" ht="58.5" hidden="false" customHeight="true" outlineLevel="0" collapsed="false">
      <c r="A63" s="12" t="s">
        <v>39</v>
      </c>
      <c r="B63" s="12" t="s">
        <v>671</v>
      </c>
      <c r="C63" s="12" t="s">
        <v>672</v>
      </c>
      <c r="D63" s="12" t="s">
        <v>673</v>
      </c>
      <c r="E63" s="12" t="s">
        <v>43</v>
      </c>
      <c r="F63" s="12" t="s">
        <v>44</v>
      </c>
      <c r="G63" s="12" t="s">
        <v>674</v>
      </c>
      <c r="H63" s="12" t="s">
        <v>675</v>
      </c>
      <c r="I63" s="12" t="s">
        <v>676</v>
      </c>
      <c r="J63" s="12" t="s">
        <v>677</v>
      </c>
      <c r="K63" s="12" t="s">
        <v>261</v>
      </c>
      <c r="L63" s="12" t="s">
        <v>678</v>
      </c>
      <c r="M63" s="12" t="s">
        <v>679</v>
      </c>
      <c r="N63" s="12" t="s">
        <v>680</v>
      </c>
      <c r="O63" s="12" t="s">
        <v>4</v>
      </c>
      <c r="P63" s="12" t="s">
        <v>6</v>
      </c>
      <c r="Q63" s="12" t="s">
        <v>681</v>
      </c>
      <c r="R63" s="12" t="s">
        <v>682</v>
      </c>
      <c r="S63" s="12" t="s">
        <v>599</v>
      </c>
      <c r="T63" s="12" t="s">
        <v>683</v>
      </c>
    </row>
    <row r="64" customFormat="false" ht="58.5" hidden="false" customHeight="true" outlineLevel="0" collapsed="false">
      <c r="A64" s="12" t="s">
        <v>39</v>
      </c>
      <c r="B64" s="12" t="s">
        <v>671</v>
      </c>
      <c r="C64" s="12" t="s">
        <v>684</v>
      </c>
      <c r="D64" s="12" t="s">
        <v>673</v>
      </c>
      <c r="E64" s="12" t="s">
        <v>43</v>
      </c>
      <c r="F64" s="12" t="s">
        <v>44</v>
      </c>
      <c r="G64" s="12" t="s">
        <v>674</v>
      </c>
      <c r="H64" s="12" t="s">
        <v>685</v>
      </c>
      <c r="I64" s="12" t="s">
        <v>676</v>
      </c>
      <c r="J64" s="12" t="s">
        <v>686</v>
      </c>
      <c r="K64" s="12" t="s">
        <v>495</v>
      </c>
      <c r="L64" s="12" t="s">
        <v>678</v>
      </c>
      <c r="M64" s="12" t="s">
        <v>687</v>
      </c>
      <c r="N64" s="12" t="s">
        <v>688</v>
      </c>
      <c r="O64" s="12" t="s">
        <v>4</v>
      </c>
      <c r="P64" s="12" t="s">
        <v>6</v>
      </c>
      <c r="Q64" s="12" t="s">
        <v>689</v>
      </c>
      <c r="R64" s="12" t="s">
        <v>690</v>
      </c>
      <c r="S64" s="12" t="s">
        <v>599</v>
      </c>
      <c r="T64" s="12" t="s">
        <v>691</v>
      </c>
    </row>
    <row r="65" customFormat="false" ht="58.5" hidden="false" customHeight="true" outlineLevel="0" collapsed="false">
      <c r="A65" s="12" t="s">
        <v>39</v>
      </c>
      <c r="B65" s="12" t="s">
        <v>692</v>
      </c>
      <c r="C65" s="12" t="s">
        <v>693</v>
      </c>
      <c r="D65" s="12" t="s">
        <v>694</v>
      </c>
      <c r="E65" s="12" t="s">
        <v>695</v>
      </c>
      <c r="F65" s="12" t="s">
        <v>696</v>
      </c>
      <c r="G65" s="12" t="s">
        <v>697</v>
      </c>
      <c r="H65" s="12" t="s">
        <v>698</v>
      </c>
      <c r="I65" s="12" t="s">
        <v>351</v>
      </c>
      <c r="J65" s="12" t="s">
        <v>699</v>
      </c>
      <c r="K65" s="12" t="s">
        <v>261</v>
      </c>
      <c r="L65" s="12" t="s">
        <v>700</v>
      </c>
      <c r="M65" s="12" t="s">
        <v>701</v>
      </c>
      <c r="N65" s="12" t="s">
        <v>702</v>
      </c>
      <c r="O65" s="12" t="s">
        <v>4</v>
      </c>
      <c r="P65" s="12" t="s">
        <v>6</v>
      </c>
      <c r="Q65" s="12" t="s">
        <v>703</v>
      </c>
      <c r="R65" s="12" t="s">
        <v>704</v>
      </c>
      <c r="S65" s="12" t="s">
        <v>705</v>
      </c>
      <c r="T65" s="12" t="s">
        <v>706</v>
      </c>
    </row>
    <row r="66" customFormat="false" ht="58.5" hidden="false" customHeight="true" outlineLevel="0" collapsed="false">
      <c r="A66" s="12" t="s">
        <v>122</v>
      </c>
      <c r="B66" s="12" t="s">
        <v>692</v>
      </c>
      <c r="C66" s="12" t="s">
        <v>707</v>
      </c>
      <c r="D66" s="12" t="s">
        <v>708</v>
      </c>
      <c r="E66" s="12" t="s">
        <v>695</v>
      </c>
      <c r="F66" s="12" t="s">
        <v>214</v>
      </c>
      <c r="G66" s="12" t="s">
        <v>709</v>
      </c>
      <c r="H66" s="12" t="s">
        <v>698</v>
      </c>
      <c r="I66" s="12" t="s">
        <v>710</v>
      </c>
      <c r="J66" s="12" t="s">
        <v>711</v>
      </c>
      <c r="K66" s="12" t="s">
        <v>712</v>
      </c>
      <c r="L66" s="12" t="s">
        <v>713</v>
      </c>
      <c r="M66" s="12" t="s">
        <v>714</v>
      </c>
      <c r="N66" s="12" t="s">
        <v>715</v>
      </c>
      <c r="O66" s="12" t="s">
        <v>4</v>
      </c>
      <c r="P66" s="12" t="s">
        <v>8</v>
      </c>
      <c r="Q66" s="12" t="s">
        <v>716</v>
      </c>
      <c r="R66" s="12" t="s">
        <v>717</v>
      </c>
      <c r="S66" s="12" t="s">
        <v>718</v>
      </c>
      <c r="T66" s="12" t="s">
        <v>719</v>
      </c>
    </row>
    <row r="67" customFormat="false" ht="58.5" hidden="false" customHeight="true" outlineLevel="0" collapsed="false">
      <c r="A67" s="12" t="s">
        <v>39</v>
      </c>
      <c r="B67" s="12" t="s">
        <v>283</v>
      </c>
      <c r="C67" s="12" t="s">
        <v>720</v>
      </c>
      <c r="D67" s="12" t="s">
        <v>247</v>
      </c>
      <c r="E67" s="12" t="s">
        <v>43</v>
      </c>
      <c r="F67" s="12" t="s">
        <v>214</v>
      </c>
      <c r="G67" s="12" t="s">
        <v>662</v>
      </c>
      <c r="H67" s="12" t="s">
        <v>721</v>
      </c>
      <c r="I67" s="12" t="s">
        <v>217</v>
      </c>
      <c r="J67" s="12" t="s">
        <v>722</v>
      </c>
      <c r="K67" s="12" t="s">
        <v>495</v>
      </c>
      <c r="L67" s="12" t="s">
        <v>219</v>
      </c>
      <c r="M67" s="12" t="s">
        <v>723</v>
      </c>
      <c r="N67" s="12" t="s">
        <v>724</v>
      </c>
      <c r="O67" s="12" t="s">
        <v>4</v>
      </c>
      <c r="P67" s="12" t="s">
        <v>6</v>
      </c>
      <c r="Q67" s="12" t="s">
        <v>725</v>
      </c>
      <c r="R67" s="12" t="s">
        <v>726</v>
      </c>
      <c r="S67" s="12" t="s">
        <v>224</v>
      </c>
      <c r="T67" s="12" t="s">
        <v>727</v>
      </c>
    </row>
    <row r="68" customFormat="false" ht="58.5" hidden="false" customHeight="true" outlineLevel="0" collapsed="false">
      <c r="A68" s="12" t="s">
        <v>39</v>
      </c>
      <c r="B68" s="12" t="s">
        <v>728</v>
      </c>
      <c r="C68" s="12" t="s">
        <v>729</v>
      </c>
      <c r="D68" s="12" t="s">
        <v>247</v>
      </c>
      <c r="E68" s="12" t="s">
        <v>43</v>
      </c>
      <c r="F68" s="12" t="s">
        <v>214</v>
      </c>
      <c r="G68" s="12" t="s">
        <v>662</v>
      </c>
      <c r="H68" s="12" t="s">
        <v>730</v>
      </c>
      <c r="I68" s="12" t="s">
        <v>217</v>
      </c>
      <c r="J68" s="12" t="s">
        <v>731</v>
      </c>
      <c r="K68" s="12" t="s">
        <v>517</v>
      </c>
      <c r="L68" s="12" t="s">
        <v>219</v>
      </c>
      <c r="M68" s="12" t="s">
        <v>732</v>
      </c>
      <c r="N68" s="12"/>
      <c r="O68" s="12" t="s">
        <v>4</v>
      </c>
      <c r="P68" s="12" t="s">
        <v>6</v>
      </c>
      <c r="Q68" s="12" t="s">
        <v>733</v>
      </c>
      <c r="R68" s="12" t="s">
        <v>54</v>
      </c>
      <c r="S68" s="12" t="s">
        <v>224</v>
      </c>
      <c r="T68" s="12" t="s">
        <v>734</v>
      </c>
    </row>
    <row r="69" customFormat="false" ht="58.5" hidden="false" customHeight="true" outlineLevel="0" collapsed="false">
      <c r="A69" s="12" t="s">
        <v>39</v>
      </c>
      <c r="B69" s="12" t="s">
        <v>728</v>
      </c>
      <c r="C69" s="12" t="s">
        <v>735</v>
      </c>
      <c r="D69" s="12" t="s">
        <v>247</v>
      </c>
      <c r="E69" s="12" t="s">
        <v>43</v>
      </c>
      <c r="F69" s="12" t="s">
        <v>214</v>
      </c>
      <c r="G69" s="12" t="s">
        <v>736</v>
      </c>
      <c r="H69" s="12" t="s">
        <v>737</v>
      </c>
      <c r="I69" s="12" t="s">
        <v>217</v>
      </c>
      <c r="J69" s="12" t="s">
        <v>731</v>
      </c>
      <c r="K69" s="12" t="s">
        <v>517</v>
      </c>
      <c r="L69" s="12" t="s">
        <v>738</v>
      </c>
      <c r="M69" s="12" t="s">
        <v>739</v>
      </c>
      <c r="N69" s="12" t="s">
        <v>740</v>
      </c>
      <c r="O69" s="12" t="s">
        <v>4</v>
      </c>
      <c r="P69" s="12" t="s">
        <v>6</v>
      </c>
      <c r="Q69" s="12" t="s">
        <v>733</v>
      </c>
      <c r="R69" s="12" t="s">
        <v>54</v>
      </c>
      <c r="S69" s="12" t="s">
        <v>741</v>
      </c>
      <c r="T69" s="12" t="s">
        <v>742</v>
      </c>
    </row>
    <row r="70" customFormat="false" ht="58.5" hidden="false" customHeight="true" outlineLevel="0" collapsed="false">
      <c r="A70" s="12" t="s">
        <v>39</v>
      </c>
      <c r="B70" s="12" t="s">
        <v>728</v>
      </c>
      <c r="C70" s="12" t="s">
        <v>743</v>
      </c>
      <c r="D70" s="12" t="s">
        <v>744</v>
      </c>
      <c r="E70" s="12" t="s">
        <v>43</v>
      </c>
      <c r="F70" s="12" t="s">
        <v>214</v>
      </c>
      <c r="G70" s="12" t="s">
        <v>709</v>
      </c>
      <c r="H70" s="12" t="s">
        <v>721</v>
      </c>
      <c r="I70" s="12" t="s">
        <v>745</v>
      </c>
      <c r="J70" s="12" t="s">
        <v>731</v>
      </c>
      <c r="K70" s="12" t="s">
        <v>495</v>
      </c>
      <c r="L70" s="12" t="s">
        <v>746</v>
      </c>
      <c r="M70" s="12" t="s">
        <v>747</v>
      </c>
      <c r="N70" s="12" t="s">
        <v>748</v>
      </c>
      <c r="O70" s="12" t="s">
        <v>4</v>
      </c>
      <c r="P70" s="12" t="s">
        <v>6</v>
      </c>
      <c r="Q70" s="12" t="s">
        <v>749</v>
      </c>
      <c r="R70" s="12" t="s">
        <v>750</v>
      </c>
      <c r="S70" s="12" t="s">
        <v>599</v>
      </c>
      <c r="T70" s="12" t="s">
        <v>751</v>
      </c>
    </row>
    <row r="71" customFormat="false" ht="58.5" hidden="false" customHeight="true" outlineLevel="0" collapsed="false">
      <c r="A71" s="12" t="s">
        <v>39</v>
      </c>
      <c r="B71" s="12" t="s">
        <v>728</v>
      </c>
      <c r="C71" s="12" t="s">
        <v>752</v>
      </c>
      <c r="D71" s="12" t="s">
        <v>92</v>
      </c>
      <c r="E71" s="12" t="s">
        <v>43</v>
      </c>
      <c r="F71" s="12" t="s">
        <v>93</v>
      </c>
      <c r="G71" s="12" t="s">
        <v>674</v>
      </c>
      <c r="H71" s="12" t="s">
        <v>753</v>
      </c>
      <c r="I71" s="12" t="s">
        <v>70</v>
      </c>
      <c r="J71" s="12" t="s">
        <v>731</v>
      </c>
      <c r="K71" s="12" t="s">
        <v>495</v>
      </c>
      <c r="L71" s="12" t="s">
        <v>754</v>
      </c>
      <c r="M71" s="12" t="s">
        <v>755</v>
      </c>
      <c r="N71" s="12" t="s">
        <v>756</v>
      </c>
      <c r="O71" s="12" t="s">
        <v>4</v>
      </c>
      <c r="P71" s="12" t="s">
        <v>6</v>
      </c>
      <c r="Q71" s="12" t="s">
        <v>757</v>
      </c>
      <c r="R71" s="12" t="s">
        <v>750</v>
      </c>
      <c r="S71" s="12" t="s">
        <v>599</v>
      </c>
      <c r="T71" s="12" t="s">
        <v>758</v>
      </c>
    </row>
    <row r="72" customFormat="false" ht="58.5" hidden="false" customHeight="true" outlineLevel="0" collapsed="false">
      <c r="A72" s="12" t="s">
        <v>39</v>
      </c>
      <c r="B72" s="12" t="s">
        <v>235</v>
      </c>
      <c r="C72" s="12" t="s">
        <v>759</v>
      </c>
      <c r="D72" s="12" t="s">
        <v>213</v>
      </c>
      <c r="E72" s="12" t="s">
        <v>43</v>
      </c>
      <c r="F72" s="12" t="s">
        <v>375</v>
      </c>
      <c r="G72" s="12" t="s">
        <v>760</v>
      </c>
      <c r="H72" s="12" t="s">
        <v>761</v>
      </c>
      <c r="I72" s="12" t="s">
        <v>762</v>
      </c>
      <c r="J72" s="12" t="s">
        <v>763</v>
      </c>
      <c r="K72" s="12" t="s">
        <v>72</v>
      </c>
      <c r="L72" s="12" t="s">
        <v>219</v>
      </c>
      <c r="M72" s="12" t="s">
        <v>764</v>
      </c>
      <c r="N72" s="12" t="s">
        <v>765</v>
      </c>
      <c r="O72" s="12" t="s">
        <v>4</v>
      </c>
      <c r="P72" s="12" t="s">
        <v>6</v>
      </c>
      <c r="Q72" s="12" t="s">
        <v>766</v>
      </c>
      <c r="R72" s="12" t="s">
        <v>233</v>
      </c>
      <c r="S72" s="12" t="s">
        <v>224</v>
      </c>
      <c r="T72" s="12"/>
    </row>
    <row r="73" customFormat="false" ht="58.5" hidden="false" customHeight="true" outlineLevel="0" collapsed="false">
      <c r="A73" s="12" t="s">
        <v>122</v>
      </c>
      <c r="B73" s="12" t="s">
        <v>235</v>
      </c>
      <c r="C73" s="12" t="s">
        <v>767</v>
      </c>
      <c r="D73" s="12" t="s">
        <v>92</v>
      </c>
      <c r="E73" s="12" t="s">
        <v>43</v>
      </c>
      <c r="F73" s="12" t="s">
        <v>93</v>
      </c>
      <c r="G73" s="12" t="s">
        <v>768</v>
      </c>
      <c r="H73" s="12" t="s">
        <v>769</v>
      </c>
      <c r="I73" s="12" t="s">
        <v>770</v>
      </c>
      <c r="J73" s="12" t="s">
        <v>771</v>
      </c>
      <c r="K73" s="12" t="s">
        <v>72</v>
      </c>
      <c r="L73" s="12" t="s">
        <v>772</v>
      </c>
      <c r="M73" s="12" t="s">
        <v>773</v>
      </c>
      <c r="N73" s="12"/>
      <c r="O73" s="12" t="s">
        <v>4</v>
      </c>
      <c r="P73" s="12" t="s">
        <v>6</v>
      </c>
      <c r="Q73" s="12" t="s">
        <v>774</v>
      </c>
      <c r="R73" s="12" t="s">
        <v>775</v>
      </c>
      <c r="S73" s="12" t="s">
        <v>142</v>
      </c>
      <c r="T73" s="12" t="s">
        <v>776</v>
      </c>
    </row>
    <row r="74" customFormat="false" ht="58.5" hidden="false" customHeight="true" outlineLevel="0" collapsed="false">
      <c r="A74" s="12" t="s">
        <v>39</v>
      </c>
      <c r="B74" s="12" t="s">
        <v>777</v>
      </c>
      <c r="C74" s="12" t="s">
        <v>778</v>
      </c>
      <c r="D74" s="12" t="s">
        <v>779</v>
      </c>
      <c r="E74" s="12" t="s">
        <v>780</v>
      </c>
      <c r="F74" s="12" t="s">
        <v>387</v>
      </c>
      <c r="G74" s="12" t="s">
        <v>781</v>
      </c>
      <c r="H74" s="12" t="s">
        <v>782</v>
      </c>
      <c r="I74" s="12" t="s">
        <v>351</v>
      </c>
      <c r="J74" s="12" t="s">
        <v>783</v>
      </c>
      <c r="K74" s="12" t="s">
        <v>495</v>
      </c>
      <c r="L74" s="12" t="s">
        <v>772</v>
      </c>
      <c r="M74" s="12" t="s">
        <v>784</v>
      </c>
      <c r="N74" s="12" t="s">
        <v>785</v>
      </c>
      <c r="O74" s="12" t="s">
        <v>4</v>
      </c>
      <c r="P74" s="12" t="s">
        <v>6</v>
      </c>
      <c r="Q74" s="12" t="s">
        <v>786</v>
      </c>
      <c r="R74" s="12" t="s">
        <v>787</v>
      </c>
      <c r="S74" s="12" t="s">
        <v>224</v>
      </c>
      <c r="T74" s="12" t="s">
        <v>788</v>
      </c>
    </row>
    <row r="75" customFormat="false" ht="58.5" hidden="false" customHeight="true" outlineLevel="0" collapsed="false">
      <c r="A75" s="12" t="s">
        <v>122</v>
      </c>
      <c r="B75" s="12" t="s">
        <v>789</v>
      </c>
      <c r="C75" s="12" t="s">
        <v>790</v>
      </c>
      <c r="D75" s="12" t="s">
        <v>791</v>
      </c>
      <c r="E75" s="12" t="s">
        <v>780</v>
      </c>
      <c r="F75" s="12" t="s">
        <v>387</v>
      </c>
      <c r="G75" s="12" t="s">
        <v>792</v>
      </c>
      <c r="H75" s="12" t="s">
        <v>793</v>
      </c>
      <c r="I75" s="12" t="s">
        <v>70</v>
      </c>
      <c r="J75" s="12" t="s">
        <v>794</v>
      </c>
      <c r="K75" s="12" t="s">
        <v>495</v>
      </c>
      <c r="L75" s="12" t="s">
        <v>154</v>
      </c>
      <c r="M75" s="12" t="s">
        <v>795</v>
      </c>
      <c r="N75" s="12" t="s">
        <v>796</v>
      </c>
      <c r="O75" s="12" t="s">
        <v>4</v>
      </c>
      <c r="P75" s="12" t="s">
        <v>6</v>
      </c>
      <c r="Q75" s="12" t="s">
        <v>797</v>
      </c>
      <c r="R75" s="12" t="s">
        <v>775</v>
      </c>
      <c r="S75" s="12" t="s">
        <v>154</v>
      </c>
      <c r="T75" s="12" t="s">
        <v>798</v>
      </c>
    </row>
    <row r="76" customFormat="false" ht="58.5" hidden="false" customHeight="true" outlineLevel="0" collapsed="false">
      <c r="A76" s="12" t="s">
        <v>122</v>
      </c>
      <c r="B76" s="12" t="s">
        <v>789</v>
      </c>
      <c r="C76" s="12" t="s">
        <v>799</v>
      </c>
      <c r="D76" s="12" t="s">
        <v>800</v>
      </c>
      <c r="E76" s="12" t="s">
        <v>780</v>
      </c>
      <c r="F76" s="12" t="s">
        <v>387</v>
      </c>
      <c r="G76" s="12" t="s">
        <v>801</v>
      </c>
      <c r="H76" s="12" t="s">
        <v>793</v>
      </c>
      <c r="I76" s="12" t="s">
        <v>570</v>
      </c>
      <c r="J76" s="12" t="s">
        <v>802</v>
      </c>
      <c r="K76" s="12" t="s">
        <v>72</v>
      </c>
      <c r="L76" s="12" t="s">
        <v>154</v>
      </c>
      <c r="M76" s="12" t="s">
        <v>803</v>
      </c>
      <c r="N76" s="12" t="s">
        <v>804</v>
      </c>
      <c r="O76" s="12" t="s">
        <v>4</v>
      </c>
      <c r="P76" s="12" t="s">
        <v>6</v>
      </c>
      <c r="Q76" s="12" t="s">
        <v>797</v>
      </c>
      <c r="R76" s="12" t="s">
        <v>775</v>
      </c>
      <c r="S76" s="12" t="s">
        <v>154</v>
      </c>
      <c r="T76" s="12"/>
    </row>
    <row r="77" customFormat="false" ht="58.5" hidden="false" customHeight="true" outlineLevel="0" collapsed="false">
      <c r="A77" s="12" t="s">
        <v>39</v>
      </c>
      <c r="B77" s="12" t="s">
        <v>444</v>
      </c>
      <c r="C77" s="12" t="s">
        <v>805</v>
      </c>
      <c r="D77" s="12" t="s">
        <v>806</v>
      </c>
      <c r="E77" s="12" t="s">
        <v>807</v>
      </c>
      <c r="F77" s="12" t="s">
        <v>44</v>
      </c>
      <c r="G77" s="12" t="s">
        <v>662</v>
      </c>
      <c r="H77" s="12" t="s">
        <v>808</v>
      </c>
      <c r="I77" s="12" t="s">
        <v>710</v>
      </c>
      <c r="J77" s="12" t="s">
        <v>809</v>
      </c>
      <c r="K77" s="12" t="s">
        <v>495</v>
      </c>
      <c r="L77" s="12" t="s">
        <v>219</v>
      </c>
      <c r="M77" s="12" t="s">
        <v>810</v>
      </c>
      <c r="N77" s="12" t="s">
        <v>811</v>
      </c>
      <c r="O77" s="12" t="s">
        <v>4</v>
      </c>
      <c r="P77" s="12" t="s">
        <v>6</v>
      </c>
      <c r="Q77" s="12" t="s">
        <v>812</v>
      </c>
      <c r="R77" s="12" t="s">
        <v>813</v>
      </c>
      <c r="S77" s="12" t="s">
        <v>224</v>
      </c>
      <c r="T77" s="12" t="s">
        <v>814</v>
      </c>
    </row>
    <row r="78" customFormat="false" ht="58.5" hidden="false" customHeight="true" outlineLevel="0" collapsed="false">
      <c r="A78" s="12" t="s">
        <v>39</v>
      </c>
      <c r="B78" s="12" t="s">
        <v>671</v>
      </c>
      <c r="C78" s="12" t="s">
        <v>815</v>
      </c>
      <c r="D78" s="12" t="s">
        <v>816</v>
      </c>
      <c r="E78" s="12" t="s">
        <v>817</v>
      </c>
      <c r="F78" s="12" t="s">
        <v>375</v>
      </c>
      <c r="G78" s="12" t="s">
        <v>818</v>
      </c>
      <c r="H78" s="12" t="s">
        <v>819</v>
      </c>
      <c r="I78" s="12" t="s">
        <v>820</v>
      </c>
      <c r="J78" s="12" t="s">
        <v>821</v>
      </c>
      <c r="K78" s="12" t="s">
        <v>261</v>
      </c>
      <c r="L78" s="12" t="s">
        <v>822</v>
      </c>
      <c r="M78" s="12" t="s">
        <v>823</v>
      </c>
      <c r="N78" s="12" t="s">
        <v>824</v>
      </c>
      <c r="O78" s="12" t="s">
        <v>4</v>
      </c>
      <c r="P78" s="12" t="s">
        <v>6</v>
      </c>
      <c r="Q78" s="12" t="s">
        <v>825</v>
      </c>
      <c r="R78" s="12" t="s">
        <v>826</v>
      </c>
      <c r="S78" s="12" t="s">
        <v>224</v>
      </c>
      <c r="T78" s="12" t="s">
        <v>827</v>
      </c>
    </row>
    <row r="79" customFormat="false" ht="58.5" hidden="false" customHeight="true" outlineLevel="0" collapsed="false">
      <c r="A79" s="12" t="s">
        <v>122</v>
      </c>
      <c r="B79" s="12" t="s">
        <v>671</v>
      </c>
      <c r="C79" s="12" t="s">
        <v>828</v>
      </c>
      <c r="D79" s="12" t="s">
        <v>829</v>
      </c>
      <c r="E79" s="12" t="s">
        <v>817</v>
      </c>
      <c r="F79" s="12" t="s">
        <v>214</v>
      </c>
      <c r="G79" s="12" t="s">
        <v>830</v>
      </c>
      <c r="H79" s="12" t="s">
        <v>819</v>
      </c>
      <c r="I79" s="12" t="s">
        <v>70</v>
      </c>
      <c r="J79" s="12" t="s">
        <v>831</v>
      </c>
      <c r="K79" s="12" t="s">
        <v>712</v>
      </c>
      <c r="L79" s="12" t="s">
        <v>832</v>
      </c>
      <c r="M79" s="12" t="s">
        <v>823</v>
      </c>
      <c r="N79" s="12" t="s">
        <v>833</v>
      </c>
      <c r="O79" s="12" t="s">
        <v>4</v>
      </c>
      <c r="P79" s="12" t="s">
        <v>6</v>
      </c>
      <c r="Q79" s="12" t="s">
        <v>834</v>
      </c>
      <c r="R79" s="12" t="s">
        <v>835</v>
      </c>
      <c r="S79" s="12" t="s">
        <v>154</v>
      </c>
      <c r="T79" s="12" t="s">
        <v>836</v>
      </c>
    </row>
    <row r="80" customFormat="false" ht="58.5" hidden="false" customHeight="true" outlineLevel="0" collapsed="false">
      <c r="A80" s="12" t="s">
        <v>122</v>
      </c>
      <c r="B80" s="12" t="s">
        <v>211</v>
      </c>
      <c r="C80" s="12" t="s">
        <v>837</v>
      </c>
      <c r="D80" s="12" t="s">
        <v>213</v>
      </c>
      <c r="E80" s="12" t="s">
        <v>43</v>
      </c>
      <c r="F80" s="12" t="s">
        <v>214</v>
      </c>
      <c r="G80" s="12" t="s">
        <v>838</v>
      </c>
      <c r="H80" s="12" t="s">
        <v>839</v>
      </c>
      <c r="I80" s="12" t="s">
        <v>762</v>
      </c>
      <c r="J80" s="12" t="s">
        <v>840</v>
      </c>
      <c r="K80" s="12" t="s">
        <v>495</v>
      </c>
      <c r="L80" s="12" t="s">
        <v>841</v>
      </c>
      <c r="M80" s="12" t="s">
        <v>842</v>
      </c>
      <c r="N80" s="12"/>
      <c r="O80" s="12" t="s">
        <v>4</v>
      </c>
      <c r="P80" s="12" t="s">
        <v>6</v>
      </c>
      <c r="Q80" s="12" t="s">
        <v>843</v>
      </c>
      <c r="R80" s="12" t="s">
        <v>233</v>
      </c>
      <c r="S80" s="12" t="s">
        <v>224</v>
      </c>
      <c r="T80" s="12" t="s">
        <v>844</v>
      </c>
    </row>
    <row r="81" customFormat="false" ht="58.5" hidden="false" customHeight="true" outlineLevel="0" collapsed="false">
      <c r="A81" s="12" t="s">
        <v>122</v>
      </c>
      <c r="B81" s="12" t="s">
        <v>845</v>
      </c>
      <c r="C81" s="12" t="s">
        <v>846</v>
      </c>
      <c r="D81" s="12" t="s">
        <v>847</v>
      </c>
      <c r="E81" s="12" t="s">
        <v>43</v>
      </c>
      <c r="F81" s="12" t="s">
        <v>214</v>
      </c>
      <c r="G81" s="12" t="s">
        <v>848</v>
      </c>
      <c r="H81" s="12" t="s">
        <v>839</v>
      </c>
      <c r="I81" s="12" t="s">
        <v>351</v>
      </c>
      <c r="J81" s="12" t="s">
        <v>849</v>
      </c>
      <c r="K81" s="12" t="s">
        <v>712</v>
      </c>
      <c r="L81" s="12" t="s">
        <v>850</v>
      </c>
      <c r="M81" s="12" t="s">
        <v>851</v>
      </c>
      <c r="N81" s="12"/>
      <c r="O81" s="12" t="s">
        <v>4</v>
      </c>
      <c r="P81" s="12" t="s">
        <v>6</v>
      </c>
      <c r="Q81" s="12" t="s">
        <v>852</v>
      </c>
      <c r="R81" s="12" t="s">
        <v>853</v>
      </c>
      <c r="S81" s="12" t="s">
        <v>154</v>
      </c>
      <c r="T81" s="12" t="s">
        <v>854</v>
      </c>
    </row>
    <row r="82" customFormat="false" ht="58.5" hidden="false" customHeight="true" outlineLevel="0" collapsed="false">
      <c r="A82" s="12" t="s">
        <v>122</v>
      </c>
      <c r="B82" s="12" t="s">
        <v>609</v>
      </c>
      <c r="C82" s="12" t="s">
        <v>855</v>
      </c>
      <c r="D82" s="12" t="s">
        <v>42</v>
      </c>
      <c r="E82" s="12" t="s">
        <v>43</v>
      </c>
      <c r="F82" s="12" t="s">
        <v>44</v>
      </c>
      <c r="G82" s="12" t="s">
        <v>856</v>
      </c>
      <c r="H82" s="12" t="s">
        <v>769</v>
      </c>
      <c r="I82" s="12" t="s">
        <v>70</v>
      </c>
      <c r="J82" s="12" t="s">
        <v>857</v>
      </c>
      <c r="K82" s="12" t="s">
        <v>495</v>
      </c>
      <c r="L82" s="12" t="s">
        <v>772</v>
      </c>
      <c r="M82" s="12" t="s">
        <v>858</v>
      </c>
      <c r="N82" s="12"/>
      <c r="O82" s="12" t="s">
        <v>4</v>
      </c>
      <c r="P82" s="12" t="s">
        <v>6</v>
      </c>
      <c r="Q82" s="12" t="s">
        <v>334</v>
      </c>
      <c r="R82" s="12" t="s">
        <v>775</v>
      </c>
      <c r="S82" s="12" t="s">
        <v>224</v>
      </c>
      <c r="T82" s="12" t="s">
        <v>859</v>
      </c>
    </row>
    <row r="83" customFormat="false" ht="58.5" hidden="false" customHeight="true" outlineLevel="0" collapsed="false">
      <c r="A83" s="12" t="s">
        <v>122</v>
      </c>
      <c r="B83" s="12" t="s">
        <v>860</v>
      </c>
      <c r="C83" s="12" t="s">
        <v>861</v>
      </c>
      <c r="D83" s="12" t="s">
        <v>213</v>
      </c>
      <c r="E83" s="12" t="s">
        <v>43</v>
      </c>
      <c r="F83" s="12" t="s">
        <v>214</v>
      </c>
      <c r="G83" s="12" t="s">
        <v>862</v>
      </c>
      <c r="H83" s="12" t="s">
        <v>863</v>
      </c>
      <c r="I83" s="12" t="s">
        <v>864</v>
      </c>
      <c r="J83" s="12" t="s">
        <v>865</v>
      </c>
      <c r="K83" s="12" t="s">
        <v>72</v>
      </c>
      <c r="L83" s="12" t="s">
        <v>866</v>
      </c>
      <c r="M83" s="12" t="s">
        <v>867</v>
      </c>
      <c r="N83" s="12" t="s">
        <v>868</v>
      </c>
      <c r="O83" s="12" t="s">
        <v>4</v>
      </c>
      <c r="P83" s="12" t="s">
        <v>6</v>
      </c>
      <c r="Q83" s="12" t="s">
        <v>869</v>
      </c>
      <c r="R83" s="12" t="s">
        <v>870</v>
      </c>
      <c r="S83" s="12" t="s">
        <v>224</v>
      </c>
      <c r="T83" s="12"/>
    </row>
    <row r="84" customFormat="false" ht="58.5" hidden="false" customHeight="true" outlineLevel="0" collapsed="false">
      <c r="A84" s="12" t="s">
        <v>122</v>
      </c>
      <c r="B84" s="12" t="s">
        <v>860</v>
      </c>
      <c r="C84" s="12" t="s">
        <v>871</v>
      </c>
      <c r="D84" s="12" t="s">
        <v>872</v>
      </c>
      <c r="E84" s="12" t="s">
        <v>780</v>
      </c>
      <c r="F84" s="12" t="s">
        <v>387</v>
      </c>
      <c r="G84" s="12" t="s">
        <v>873</v>
      </c>
      <c r="H84" s="12" t="s">
        <v>839</v>
      </c>
      <c r="I84" s="12" t="s">
        <v>864</v>
      </c>
      <c r="J84" s="12" t="s">
        <v>874</v>
      </c>
      <c r="K84" s="12" t="s">
        <v>72</v>
      </c>
      <c r="L84" s="12" t="s">
        <v>822</v>
      </c>
      <c r="M84" s="12" t="s">
        <v>875</v>
      </c>
      <c r="N84" s="12" t="s">
        <v>876</v>
      </c>
      <c r="O84" s="12" t="s">
        <v>4</v>
      </c>
      <c r="P84" s="12" t="s">
        <v>6</v>
      </c>
      <c r="Q84" s="12" t="s">
        <v>869</v>
      </c>
      <c r="R84" s="12" t="s">
        <v>877</v>
      </c>
      <c r="S84" s="12" t="s">
        <v>224</v>
      </c>
      <c r="T84" s="12" t="s">
        <v>878</v>
      </c>
    </row>
    <row r="85" customFormat="false" ht="58.5" hidden="false" customHeight="true" outlineLevel="0" collapsed="false">
      <c r="A85" s="12" t="s">
        <v>39</v>
      </c>
      <c r="B85" s="12" t="s">
        <v>132</v>
      </c>
      <c r="C85" s="12" t="s">
        <v>879</v>
      </c>
      <c r="D85" s="12" t="s">
        <v>880</v>
      </c>
      <c r="E85" s="12" t="s">
        <v>43</v>
      </c>
      <c r="F85" s="12" t="s">
        <v>93</v>
      </c>
      <c r="G85" s="12" t="s">
        <v>881</v>
      </c>
      <c r="H85" s="12" t="s">
        <v>721</v>
      </c>
      <c r="I85" s="12" t="s">
        <v>147</v>
      </c>
      <c r="J85" s="12" t="s">
        <v>882</v>
      </c>
      <c r="K85" s="12" t="s">
        <v>883</v>
      </c>
      <c r="L85" s="12" t="s">
        <v>772</v>
      </c>
      <c r="M85" s="12" t="s">
        <v>884</v>
      </c>
      <c r="N85" s="12" t="s">
        <v>885</v>
      </c>
      <c r="O85" s="12" t="s">
        <v>4</v>
      </c>
      <c r="P85" s="12" t="s">
        <v>9</v>
      </c>
      <c r="Q85" s="12"/>
      <c r="R85" s="12"/>
      <c r="S85" s="12" t="s">
        <v>142</v>
      </c>
      <c r="T85" s="12" t="s">
        <v>886</v>
      </c>
    </row>
    <row r="86" customFormat="false" ht="58.5" hidden="false" customHeight="true" outlineLevel="0" collapsed="false">
      <c r="A86" s="12" t="s">
        <v>122</v>
      </c>
      <c r="B86" s="12" t="s">
        <v>887</v>
      </c>
      <c r="C86" s="12" t="s">
        <v>888</v>
      </c>
      <c r="D86" s="12" t="s">
        <v>93</v>
      </c>
      <c r="E86" s="12" t="s">
        <v>43</v>
      </c>
      <c r="F86" s="12" t="s">
        <v>93</v>
      </c>
      <c r="G86" s="12" t="s">
        <v>45</v>
      </c>
      <c r="H86" s="12" t="s">
        <v>721</v>
      </c>
      <c r="I86" s="12" t="s">
        <v>570</v>
      </c>
      <c r="J86" s="12" t="s">
        <v>889</v>
      </c>
      <c r="K86" s="12" t="s">
        <v>49</v>
      </c>
      <c r="L86" s="12" t="s">
        <v>890</v>
      </c>
      <c r="M86" s="12" t="s">
        <v>891</v>
      </c>
      <c r="N86" s="12"/>
      <c r="O86" s="12" t="s">
        <v>4</v>
      </c>
      <c r="P86" s="12" t="s">
        <v>9</v>
      </c>
      <c r="Q86" s="12"/>
      <c r="R86" s="12" t="s">
        <v>892</v>
      </c>
      <c r="S86" s="12" t="s">
        <v>130</v>
      </c>
      <c r="T86" s="12" t="s">
        <v>893</v>
      </c>
    </row>
    <row r="87" customFormat="false" ht="58.5" hidden="false" customHeight="true" outlineLevel="0" collapsed="false">
      <c r="A87" s="12" t="s">
        <v>122</v>
      </c>
      <c r="B87" s="12" t="s">
        <v>887</v>
      </c>
      <c r="C87" s="12" t="s">
        <v>894</v>
      </c>
      <c r="D87" s="12" t="s">
        <v>92</v>
      </c>
      <c r="E87" s="12" t="s">
        <v>43</v>
      </c>
      <c r="F87" s="12" t="s">
        <v>93</v>
      </c>
      <c r="G87" s="12" t="s">
        <v>895</v>
      </c>
      <c r="H87" s="12" t="s">
        <v>769</v>
      </c>
      <c r="I87" s="12" t="s">
        <v>70</v>
      </c>
      <c r="J87" s="12" t="s">
        <v>896</v>
      </c>
      <c r="K87" s="12" t="s">
        <v>353</v>
      </c>
      <c r="L87" s="12" t="s">
        <v>772</v>
      </c>
      <c r="M87" s="12" t="s">
        <v>897</v>
      </c>
      <c r="N87" s="12"/>
      <c r="O87" s="12" t="s">
        <v>4</v>
      </c>
      <c r="P87" s="12" t="s">
        <v>9</v>
      </c>
      <c r="Q87" s="12"/>
      <c r="R87" s="12"/>
      <c r="S87" s="12" t="s">
        <v>142</v>
      </c>
      <c r="T87" s="12" t="s">
        <v>898</v>
      </c>
    </row>
    <row r="88" customFormat="false" ht="58.5" hidden="false" customHeight="true" outlineLevel="0" collapsed="false">
      <c r="A88" s="12" t="s">
        <v>122</v>
      </c>
      <c r="B88" s="12" t="s">
        <v>887</v>
      </c>
      <c r="C88" s="12" t="s">
        <v>899</v>
      </c>
      <c r="D88" s="12" t="s">
        <v>93</v>
      </c>
      <c r="E88" s="12" t="s">
        <v>43</v>
      </c>
      <c r="F88" s="12" t="s">
        <v>93</v>
      </c>
      <c r="G88" s="12" t="s">
        <v>45</v>
      </c>
      <c r="H88" s="12" t="s">
        <v>721</v>
      </c>
      <c r="I88" s="12" t="s">
        <v>70</v>
      </c>
      <c r="J88" s="12" t="s">
        <v>900</v>
      </c>
      <c r="K88" s="12" t="s">
        <v>353</v>
      </c>
      <c r="L88" s="12" t="s">
        <v>45</v>
      </c>
      <c r="M88" s="12" t="s">
        <v>901</v>
      </c>
      <c r="N88" s="12"/>
      <c r="O88" s="12" t="s">
        <v>4</v>
      </c>
      <c r="P88" s="12" t="s">
        <v>9</v>
      </c>
      <c r="Q88" s="12"/>
      <c r="R88" s="12"/>
      <c r="S88" s="12" t="s">
        <v>130</v>
      </c>
      <c r="T88" s="12" t="s">
        <v>898</v>
      </c>
    </row>
    <row r="89" customFormat="false" ht="58.5" hidden="false" customHeight="true" outlineLevel="0" collapsed="false">
      <c r="A89" s="12" t="s">
        <v>39</v>
      </c>
      <c r="B89" s="12" t="s">
        <v>444</v>
      </c>
      <c r="C89" s="12" t="s">
        <v>902</v>
      </c>
      <c r="D89" s="12" t="s">
        <v>903</v>
      </c>
      <c r="E89" s="12" t="s">
        <v>43</v>
      </c>
      <c r="F89" s="12" t="s">
        <v>904</v>
      </c>
      <c r="G89" s="12" t="s">
        <v>895</v>
      </c>
      <c r="H89" s="12" t="s">
        <v>769</v>
      </c>
      <c r="I89" s="12" t="s">
        <v>710</v>
      </c>
      <c r="J89" s="12" t="s">
        <v>905</v>
      </c>
      <c r="K89" s="12" t="s">
        <v>49</v>
      </c>
      <c r="L89" s="12" t="s">
        <v>772</v>
      </c>
      <c r="M89" s="12" t="s">
        <v>906</v>
      </c>
      <c r="N89" s="12" t="s">
        <v>907</v>
      </c>
      <c r="O89" s="12" t="s">
        <v>4</v>
      </c>
      <c r="P89" s="12" t="s">
        <v>9</v>
      </c>
      <c r="Q89" s="12"/>
      <c r="R89" s="12"/>
      <c r="S89" s="12" t="s">
        <v>142</v>
      </c>
      <c r="T89" s="12" t="s">
        <v>908</v>
      </c>
    </row>
    <row r="90" customFormat="false" ht="58.5" hidden="false" customHeight="true" outlineLevel="0" collapsed="false">
      <c r="A90" s="12" t="s">
        <v>122</v>
      </c>
      <c r="B90" s="12" t="s">
        <v>909</v>
      </c>
      <c r="C90" s="12" t="s">
        <v>910</v>
      </c>
      <c r="D90" s="12" t="s">
        <v>92</v>
      </c>
      <c r="E90" s="12" t="s">
        <v>43</v>
      </c>
      <c r="F90" s="12" t="s">
        <v>93</v>
      </c>
      <c r="G90" s="12" t="s">
        <v>911</v>
      </c>
      <c r="H90" s="12" t="s">
        <v>912</v>
      </c>
      <c r="I90" s="12" t="s">
        <v>70</v>
      </c>
      <c r="J90" s="12" t="s">
        <v>913</v>
      </c>
      <c r="K90" s="12" t="s">
        <v>495</v>
      </c>
      <c r="L90" s="12" t="s">
        <v>822</v>
      </c>
      <c r="M90" s="12" t="s">
        <v>914</v>
      </c>
      <c r="N90" s="12" t="s">
        <v>915</v>
      </c>
      <c r="O90" s="12" t="s">
        <v>4</v>
      </c>
      <c r="P90" s="12" t="s">
        <v>9</v>
      </c>
      <c r="Q90" s="12"/>
      <c r="R90" s="12"/>
      <c r="S90" s="12" t="s">
        <v>292</v>
      </c>
      <c r="T90" s="12" t="s">
        <v>916</v>
      </c>
    </row>
    <row r="91" customFormat="false" ht="58.5" hidden="false" customHeight="true" outlineLevel="0" collapsed="false">
      <c r="A91" s="12" t="s">
        <v>122</v>
      </c>
      <c r="B91" s="12" t="s">
        <v>909</v>
      </c>
      <c r="C91" s="12" t="s">
        <v>917</v>
      </c>
      <c r="D91" s="12" t="s">
        <v>92</v>
      </c>
      <c r="E91" s="12" t="s">
        <v>43</v>
      </c>
      <c r="F91" s="12" t="s">
        <v>93</v>
      </c>
      <c r="G91" s="12" t="s">
        <v>918</v>
      </c>
      <c r="H91" s="12" t="s">
        <v>769</v>
      </c>
      <c r="I91" s="12" t="s">
        <v>70</v>
      </c>
      <c r="J91" s="12" t="s">
        <v>919</v>
      </c>
      <c r="K91" s="12" t="s">
        <v>495</v>
      </c>
      <c r="L91" s="12" t="s">
        <v>822</v>
      </c>
      <c r="M91" s="12" t="s">
        <v>920</v>
      </c>
      <c r="N91" s="12"/>
      <c r="O91" s="12" t="s">
        <v>4</v>
      </c>
      <c r="P91" s="12" t="s">
        <v>9</v>
      </c>
      <c r="Q91" s="12"/>
      <c r="R91" s="12"/>
      <c r="S91" s="12" t="s">
        <v>292</v>
      </c>
      <c r="T91" s="12" t="s">
        <v>921</v>
      </c>
    </row>
    <row r="92" customFormat="false" ht="58.5" hidden="false" customHeight="true" outlineLevel="0" collapsed="false">
      <c r="A92" s="12" t="s">
        <v>122</v>
      </c>
      <c r="B92" s="12" t="s">
        <v>909</v>
      </c>
      <c r="C92" s="12" t="s">
        <v>922</v>
      </c>
      <c r="D92" s="12" t="s">
        <v>903</v>
      </c>
      <c r="E92" s="12" t="s">
        <v>43</v>
      </c>
      <c r="F92" s="12" t="s">
        <v>904</v>
      </c>
      <c r="G92" s="12" t="s">
        <v>923</v>
      </c>
      <c r="H92" s="12" t="s">
        <v>769</v>
      </c>
      <c r="I92" s="12" t="s">
        <v>70</v>
      </c>
      <c r="J92" s="12" t="s">
        <v>924</v>
      </c>
      <c r="K92" s="12" t="s">
        <v>495</v>
      </c>
      <c r="L92" s="12" t="s">
        <v>772</v>
      </c>
      <c r="M92" s="12" t="s">
        <v>925</v>
      </c>
      <c r="N92" s="12"/>
      <c r="O92" s="12" t="s">
        <v>4</v>
      </c>
      <c r="P92" s="12" t="s">
        <v>9</v>
      </c>
      <c r="Q92" s="12"/>
      <c r="R92" s="12"/>
      <c r="S92" s="12" t="s">
        <v>926</v>
      </c>
      <c r="T92" s="12" t="s">
        <v>927</v>
      </c>
    </row>
    <row r="93" customFormat="false" ht="58.5" hidden="false" customHeight="true" outlineLevel="0" collapsed="false">
      <c r="A93" s="12" t="s">
        <v>122</v>
      </c>
      <c r="B93" s="12" t="s">
        <v>410</v>
      </c>
      <c r="C93" s="12" t="s">
        <v>928</v>
      </c>
      <c r="D93" s="12" t="s">
        <v>929</v>
      </c>
      <c r="E93" s="12" t="s">
        <v>43</v>
      </c>
      <c r="F93" s="12" t="s">
        <v>375</v>
      </c>
      <c r="G93" s="12" t="s">
        <v>930</v>
      </c>
      <c r="H93" s="12" t="s">
        <v>793</v>
      </c>
      <c r="I93" s="12" t="s">
        <v>70</v>
      </c>
      <c r="J93" s="12" t="s">
        <v>931</v>
      </c>
      <c r="K93" s="12" t="s">
        <v>72</v>
      </c>
      <c r="L93" s="12" t="s">
        <v>154</v>
      </c>
      <c r="M93" s="12" t="s">
        <v>932</v>
      </c>
      <c r="N93" s="12"/>
      <c r="O93" s="12" t="s">
        <v>4</v>
      </c>
      <c r="P93" s="12" t="s">
        <v>9</v>
      </c>
      <c r="Q93" s="12"/>
      <c r="R93" s="12" t="s">
        <v>933</v>
      </c>
      <c r="S93" s="12" t="s">
        <v>154</v>
      </c>
      <c r="T93" s="12" t="s">
        <v>934</v>
      </c>
    </row>
    <row r="94" customFormat="false" ht="58.5" hidden="false" customHeight="true" outlineLevel="0" collapsed="false">
      <c r="A94" s="12" t="s">
        <v>39</v>
      </c>
      <c r="B94" s="12" t="s">
        <v>283</v>
      </c>
      <c r="C94" s="12" t="s">
        <v>935</v>
      </c>
      <c r="D94" s="12" t="s">
        <v>247</v>
      </c>
      <c r="E94" s="12" t="s">
        <v>43</v>
      </c>
      <c r="F94" s="12" t="s">
        <v>214</v>
      </c>
      <c r="G94" s="12" t="s">
        <v>936</v>
      </c>
      <c r="H94" s="12" t="s">
        <v>721</v>
      </c>
      <c r="I94" s="12" t="s">
        <v>70</v>
      </c>
      <c r="J94" s="12" t="s">
        <v>937</v>
      </c>
      <c r="K94" s="12" t="s">
        <v>261</v>
      </c>
      <c r="L94" s="12" t="s">
        <v>822</v>
      </c>
      <c r="M94" s="12" t="s">
        <v>938</v>
      </c>
      <c r="N94" s="12"/>
      <c r="O94" s="12" t="s">
        <v>4</v>
      </c>
      <c r="P94" s="12" t="s">
        <v>9</v>
      </c>
      <c r="Q94" s="12"/>
      <c r="R94" s="12"/>
      <c r="S94" s="12" t="s">
        <v>292</v>
      </c>
      <c r="T94" s="12" t="s">
        <v>939</v>
      </c>
    </row>
    <row r="95" customFormat="false" ht="58.5" hidden="false" customHeight="true" outlineLevel="0" collapsed="false">
      <c r="A95" s="12" t="s">
        <v>122</v>
      </c>
      <c r="B95" s="12" t="s">
        <v>283</v>
      </c>
      <c r="C95" s="12" t="s">
        <v>940</v>
      </c>
      <c r="D95" s="12" t="s">
        <v>247</v>
      </c>
      <c r="E95" s="12" t="s">
        <v>43</v>
      </c>
      <c r="F95" s="12" t="s">
        <v>214</v>
      </c>
      <c r="G95" s="12" t="s">
        <v>662</v>
      </c>
      <c r="H95" s="12" t="s">
        <v>737</v>
      </c>
      <c r="I95" s="12" t="s">
        <v>217</v>
      </c>
      <c r="J95" s="12" t="s">
        <v>941</v>
      </c>
      <c r="K95" s="12" t="s">
        <v>495</v>
      </c>
      <c r="L95" s="12" t="s">
        <v>219</v>
      </c>
      <c r="M95" s="12" t="s">
        <v>942</v>
      </c>
      <c r="N95" s="12"/>
      <c r="O95" s="12" t="s">
        <v>4</v>
      </c>
      <c r="P95" s="12" t="s">
        <v>9</v>
      </c>
      <c r="Q95" s="12"/>
      <c r="R95" s="12" t="s">
        <v>943</v>
      </c>
      <c r="S95" s="12" t="s">
        <v>224</v>
      </c>
      <c r="T95" s="12" t="s">
        <v>944</v>
      </c>
    </row>
    <row r="96" customFormat="false" ht="58.5" hidden="false" customHeight="true" outlineLevel="0" collapsed="false">
      <c r="A96" s="12" t="s">
        <v>122</v>
      </c>
      <c r="B96" s="12" t="s">
        <v>945</v>
      </c>
      <c r="C96" s="12" t="s">
        <v>946</v>
      </c>
      <c r="D96" s="12" t="s">
        <v>947</v>
      </c>
      <c r="E96" s="12" t="s">
        <v>43</v>
      </c>
      <c r="F96" s="12" t="s">
        <v>214</v>
      </c>
      <c r="G96" s="12" t="s">
        <v>662</v>
      </c>
      <c r="H96" s="12" t="s">
        <v>948</v>
      </c>
      <c r="I96" s="12" t="s">
        <v>217</v>
      </c>
      <c r="J96" s="12" t="s">
        <v>949</v>
      </c>
      <c r="K96" s="12" t="s">
        <v>495</v>
      </c>
      <c r="L96" s="12" t="s">
        <v>219</v>
      </c>
      <c r="M96" s="12" t="s">
        <v>950</v>
      </c>
      <c r="N96" s="12" t="s">
        <v>951</v>
      </c>
      <c r="O96" s="12" t="s">
        <v>4</v>
      </c>
      <c r="P96" s="12" t="s">
        <v>9</v>
      </c>
      <c r="Q96" s="12"/>
      <c r="R96" s="12" t="s">
        <v>943</v>
      </c>
      <c r="S96" s="12" t="s">
        <v>224</v>
      </c>
      <c r="T96" s="12" t="s">
        <v>952</v>
      </c>
    </row>
    <row r="97" customFormat="false" ht="58.5" hidden="false" customHeight="true" outlineLevel="0" collapsed="false">
      <c r="A97" s="12" t="s">
        <v>122</v>
      </c>
      <c r="B97" s="12" t="s">
        <v>609</v>
      </c>
      <c r="C97" s="12" t="s">
        <v>953</v>
      </c>
      <c r="D97" s="12" t="s">
        <v>954</v>
      </c>
      <c r="E97" s="12" t="s">
        <v>955</v>
      </c>
      <c r="F97" s="12" t="s">
        <v>44</v>
      </c>
      <c r="G97" s="12" t="s">
        <v>956</v>
      </c>
      <c r="H97" s="12" t="s">
        <v>753</v>
      </c>
      <c r="I97" s="12" t="s">
        <v>70</v>
      </c>
      <c r="J97" s="12" t="s">
        <v>957</v>
      </c>
      <c r="K97" s="12" t="s">
        <v>495</v>
      </c>
      <c r="L97" s="12" t="s">
        <v>822</v>
      </c>
      <c r="M97" s="12" t="s">
        <v>958</v>
      </c>
      <c r="N97" s="12"/>
      <c r="O97" s="12" t="s">
        <v>4</v>
      </c>
      <c r="P97" s="12" t="s">
        <v>9</v>
      </c>
      <c r="Q97" s="12"/>
      <c r="R97" s="12"/>
      <c r="S97" s="12" t="s">
        <v>292</v>
      </c>
      <c r="T97" s="12" t="s">
        <v>959</v>
      </c>
    </row>
    <row r="98" customFormat="false" ht="58.5" hidden="false" customHeight="true" outlineLevel="0" collapsed="false">
      <c r="A98" s="12" t="s">
        <v>122</v>
      </c>
      <c r="B98" s="12" t="s">
        <v>609</v>
      </c>
      <c r="C98" s="12" t="s">
        <v>960</v>
      </c>
      <c r="D98" s="12" t="s">
        <v>961</v>
      </c>
      <c r="E98" s="12" t="s">
        <v>43</v>
      </c>
      <c r="F98" s="12" t="s">
        <v>375</v>
      </c>
      <c r="G98" s="12" t="s">
        <v>962</v>
      </c>
      <c r="H98" s="12" t="s">
        <v>948</v>
      </c>
      <c r="I98" s="12" t="s">
        <v>351</v>
      </c>
      <c r="J98" s="12" t="s">
        <v>963</v>
      </c>
      <c r="K98" s="12" t="s">
        <v>495</v>
      </c>
      <c r="L98" s="12" t="s">
        <v>822</v>
      </c>
      <c r="M98" s="12" t="s">
        <v>964</v>
      </c>
      <c r="N98" s="12"/>
      <c r="O98" s="12" t="s">
        <v>4</v>
      </c>
      <c r="P98" s="12" t="s">
        <v>9</v>
      </c>
      <c r="Q98" s="12"/>
      <c r="R98" s="12"/>
      <c r="S98" s="12" t="s">
        <v>292</v>
      </c>
      <c r="T98" s="12" t="s">
        <v>908</v>
      </c>
    </row>
    <row r="99" customFormat="false" ht="58.5" hidden="false" customHeight="true" outlineLevel="0" collapsed="false">
      <c r="A99" s="12" t="s">
        <v>122</v>
      </c>
      <c r="B99" s="12" t="s">
        <v>609</v>
      </c>
      <c r="C99" s="12" t="s">
        <v>965</v>
      </c>
      <c r="D99" s="12" t="s">
        <v>966</v>
      </c>
      <c r="E99" s="12" t="s">
        <v>43</v>
      </c>
      <c r="F99" s="12" t="s">
        <v>375</v>
      </c>
      <c r="G99" s="12" t="s">
        <v>612</v>
      </c>
      <c r="H99" s="12" t="s">
        <v>737</v>
      </c>
      <c r="I99" s="12" t="s">
        <v>217</v>
      </c>
      <c r="J99" s="12" t="s">
        <v>967</v>
      </c>
      <c r="K99" s="12" t="s">
        <v>495</v>
      </c>
      <c r="L99" s="12" t="s">
        <v>968</v>
      </c>
      <c r="M99" s="12" t="s">
        <v>969</v>
      </c>
      <c r="N99" s="12" t="s">
        <v>970</v>
      </c>
      <c r="O99" s="12" t="s">
        <v>4</v>
      </c>
      <c r="P99" s="12" t="s">
        <v>9</v>
      </c>
      <c r="Q99" s="12"/>
      <c r="R99" s="12" t="s">
        <v>971</v>
      </c>
      <c r="S99" s="12" t="s">
        <v>972</v>
      </c>
      <c r="T99" s="12" t="s">
        <v>973</v>
      </c>
    </row>
    <row r="100" customFormat="false" ht="58.5" hidden="false" customHeight="true" outlineLevel="0" collapsed="false">
      <c r="A100" s="12" t="s">
        <v>122</v>
      </c>
      <c r="B100" s="12" t="s">
        <v>609</v>
      </c>
      <c r="C100" s="12" t="s">
        <v>974</v>
      </c>
      <c r="D100" s="12" t="s">
        <v>975</v>
      </c>
      <c r="E100" s="12" t="s">
        <v>43</v>
      </c>
      <c r="F100" s="12" t="s">
        <v>93</v>
      </c>
      <c r="G100" s="12" t="s">
        <v>976</v>
      </c>
      <c r="H100" s="12" t="s">
        <v>977</v>
      </c>
      <c r="I100" s="12" t="s">
        <v>978</v>
      </c>
      <c r="J100" s="12" t="s">
        <v>979</v>
      </c>
      <c r="K100" s="12" t="s">
        <v>495</v>
      </c>
      <c r="L100" s="12" t="s">
        <v>772</v>
      </c>
      <c r="M100" s="12" t="s">
        <v>980</v>
      </c>
      <c r="N100" s="12" t="s">
        <v>981</v>
      </c>
      <c r="O100" s="12" t="s">
        <v>4</v>
      </c>
      <c r="P100" s="12" t="s">
        <v>9</v>
      </c>
      <c r="Q100" s="12"/>
      <c r="R100" s="12" t="s">
        <v>982</v>
      </c>
      <c r="S100" s="12" t="s">
        <v>926</v>
      </c>
      <c r="T100" s="12" t="s">
        <v>983</v>
      </c>
    </row>
    <row r="101" customFormat="false" ht="58.5" hidden="false" customHeight="true" outlineLevel="0" collapsed="false">
      <c r="A101" s="12" t="s">
        <v>122</v>
      </c>
      <c r="B101" s="12" t="s">
        <v>984</v>
      </c>
      <c r="C101" s="12" t="s">
        <v>985</v>
      </c>
      <c r="D101" s="12" t="s">
        <v>92</v>
      </c>
      <c r="E101" s="12" t="s">
        <v>43</v>
      </c>
      <c r="F101" s="12" t="s">
        <v>93</v>
      </c>
      <c r="G101" s="12" t="s">
        <v>986</v>
      </c>
      <c r="H101" s="12" t="s">
        <v>769</v>
      </c>
      <c r="I101" s="12" t="s">
        <v>70</v>
      </c>
      <c r="J101" s="12" t="s">
        <v>987</v>
      </c>
      <c r="K101" s="12" t="s">
        <v>495</v>
      </c>
      <c r="L101" s="12" t="s">
        <v>772</v>
      </c>
      <c r="M101" s="12" t="s">
        <v>988</v>
      </c>
      <c r="N101" s="12"/>
      <c r="O101" s="12" t="s">
        <v>4</v>
      </c>
      <c r="P101" s="12" t="s">
        <v>9</v>
      </c>
      <c r="Q101" s="12"/>
      <c r="R101" s="12"/>
      <c r="S101" s="12" t="s">
        <v>926</v>
      </c>
      <c r="T101" s="12" t="s">
        <v>908</v>
      </c>
    </row>
    <row r="102" customFormat="false" ht="58.5" hidden="false" customHeight="true" outlineLevel="0" collapsed="false">
      <c r="A102" s="12" t="s">
        <v>122</v>
      </c>
      <c r="B102" s="12" t="s">
        <v>984</v>
      </c>
      <c r="C102" s="12" t="s">
        <v>989</v>
      </c>
      <c r="D102" s="12" t="s">
        <v>990</v>
      </c>
      <c r="E102" s="12" t="s">
        <v>43</v>
      </c>
      <c r="F102" s="12" t="s">
        <v>93</v>
      </c>
      <c r="G102" s="12" t="s">
        <v>991</v>
      </c>
      <c r="H102" s="12" t="s">
        <v>769</v>
      </c>
      <c r="I102" s="12" t="s">
        <v>710</v>
      </c>
      <c r="J102" s="12" t="s">
        <v>992</v>
      </c>
      <c r="K102" s="12" t="s">
        <v>261</v>
      </c>
      <c r="L102" s="12" t="s">
        <v>772</v>
      </c>
      <c r="M102" s="12" t="s">
        <v>993</v>
      </c>
      <c r="N102" s="12"/>
      <c r="O102" s="12" t="s">
        <v>4</v>
      </c>
      <c r="P102" s="12" t="s">
        <v>9</v>
      </c>
      <c r="Q102" s="12"/>
      <c r="R102" s="12" t="s">
        <v>994</v>
      </c>
      <c r="S102" s="12" t="s">
        <v>142</v>
      </c>
      <c r="T102" s="12" t="s">
        <v>908</v>
      </c>
    </row>
    <row r="103" customFormat="false" ht="58.5" hidden="false" customHeight="true" outlineLevel="0" collapsed="false">
      <c r="A103" s="12" t="s">
        <v>122</v>
      </c>
      <c r="B103" s="12" t="s">
        <v>984</v>
      </c>
      <c r="C103" s="12" t="s">
        <v>995</v>
      </c>
      <c r="D103" s="12" t="s">
        <v>996</v>
      </c>
      <c r="E103" s="12" t="s">
        <v>43</v>
      </c>
      <c r="F103" s="12" t="s">
        <v>375</v>
      </c>
      <c r="G103" s="12" t="s">
        <v>997</v>
      </c>
      <c r="H103" s="12" t="s">
        <v>721</v>
      </c>
      <c r="I103" s="12" t="s">
        <v>70</v>
      </c>
      <c r="J103" s="12" t="s">
        <v>998</v>
      </c>
      <c r="K103" s="12" t="s">
        <v>495</v>
      </c>
      <c r="L103" s="12" t="s">
        <v>999</v>
      </c>
      <c r="M103" s="12" t="s">
        <v>1000</v>
      </c>
      <c r="N103" s="12" t="s">
        <v>1001</v>
      </c>
      <c r="O103" s="12" t="s">
        <v>4</v>
      </c>
      <c r="P103" s="12" t="s">
        <v>9</v>
      </c>
      <c r="Q103" s="12"/>
      <c r="R103" s="12" t="s">
        <v>1002</v>
      </c>
      <c r="S103" s="12" t="s">
        <v>1003</v>
      </c>
      <c r="T103" s="12" t="s">
        <v>908</v>
      </c>
    </row>
    <row r="104" customFormat="false" ht="58.5" hidden="false" customHeight="true" outlineLevel="0" collapsed="false">
      <c r="A104" s="12" t="s">
        <v>122</v>
      </c>
      <c r="B104" s="12" t="s">
        <v>984</v>
      </c>
      <c r="C104" s="12" t="s">
        <v>1004</v>
      </c>
      <c r="D104" s="12" t="s">
        <v>1005</v>
      </c>
      <c r="E104" s="12" t="s">
        <v>43</v>
      </c>
      <c r="F104" s="12" t="s">
        <v>93</v>
      </c>
      <c r="G104" s="12" t="s">
        <v>1006</v>
      </c>
      <c r="H104" s="12" t="s">
        <v>753</v>
      </c>
      <c r="I104" s="12" t="s">
        <v>70</v>
      </c>
      <c r="J104" s="12" t="s">
        <v>1007</v>
      </c>
      <c r="K104" s="12" t="s">
        <v>206</v>
      </c>
      <c r="L104" s="12" t="s">
        <v>1008</v>
      </c>
      <c r="M104" s="12" t="s">
        <v>1009</v>
      </c>
      <c r="N104" s="12"/>
      <c r="O104" s="12" t="s">
        <v>4</v>
      </c>
      <c r="P104" s="12" t="s">
        <v>9</v>
      </c>
      <c r="Q104" s="12"/>
      <c r="R104" s="12" t="s">
        <v>1010</v>
      </c>
      <c r="S104" s="12" t="s">
        <v>1011</v>
      </c>
      <c r="T104" s="12" t="s">
        <v>1012</v>
      </c>
    </row>
    <row r="105" customFormat="false" ht="58.5" hidden="false" customHeight="true" outlineLevel="0" collapsed="false">
      <c r="A105" s="12" t="s">
        <v>122</v>
      </c>
      <c r="B105" s="12" t="s">
        <v>984</v>
      </c>
      <c r="C105" s="12" t="s">
        <v>1013</v>
      </c>
      <c r="D105" s="12" t="s">
        <v>903</v>
      </c>
      <c r="E105" s="12" t="s">
        <v>43</v>
      </c>
      <c r="F105" s="12" t="s">
        <v>904</v>
      </c>
      <c r="G105" s="12" t="s">
        <v>895</v>
      </c>
      <c r="H105" s="12" t="s">
        <v>769</v>
      </c>
      <c r="I105" s="12" t="s">
        <v>1014</v>
      </c>
      <c r="J105" s="12" t="s">
        <v>1015</v>
      </c>
      <c r="K105" s="12" t="s">
        <v>495</v>
      </c>
      <c r="L105" s="12" t="s">
        <v>772</v>
      </c>
      <c r="M105" s="12" t="s">
        <v>1016</v>
      </c>
      <c r="N105" s="12"/>
      <c r="O105" s="12" t="s">
        <v>4</v>
      </c>
      <c r="P105" s="12" t="s">
        <v>9</v>
      </c>
      <c r="Q105" s="12"/>
      <c r="R105" s="12" t="s">
        <v>669</v>
      </c>
      <c r="S105" s="12" t="s">
        <v>142</v>
      </c>
      <c r="T105" s="12" t="s">
        <v>908</v>
      </c>
    </row>
    <row r="106" customFormat="false" ht="58.5" hidden="false" customHeight="true" outlineLevel="0" collapsed="false">
      <c r="A106" s="12" t="s">
        <v>122</v>
      </c>
      <c r="B106" s="12" t="s">
        <v>1017</v>
      </c>
      <c r="C106" s="12" t="s">
        <v>1018</v>
      </c>
      <c r="D106" s="12" t="s">
        <v>1019</v>
      </c>
      <c r="E106" s="12" t="s">
        <v>43</v>
      </c>
      <c r="F106" s="12" t="s">
        <v>214</v>
      </c>
      <c r="G106" s="12" t="s">
        <v>709</v>
      </c>
      <c r="H106" s="12" t="s">
        <v>1020</v>
      </c>
      <c r="I106" s="12" t="s">
        <v>70</v>
      </c>
      <c r="J106" s="12" t="s">
        <v>1021</v>
      </c>
      <c r="K106" s="12" t="s">
        <v>495</v>
      </c>
      <c r="L106" s="12" t="s">
        <v>713</v>
      </c>
      <c r="M106" s="12" t="s">
        <v>1022</v>
      </c>
      <c r="N106" s="12" t="s">
        <v>1023</v>
      </c>
      <c r="O106" s="12" t="s">
        <v>4</v>
      </c>
      <c r="P106" s="12" t="s">
        <v>9</v>
      </c>
      <c r="Q106" s="12"/>
      <c r="R106" s="12" t="s">
        <v>1024</v>
      </c>
      <c r="S106" s="12" t="s">
        <v>599</v>
      </c>
      <c r="T106" s="12" t="s">
        <v>898</v>
      </c>
    </row>
    <row r="107" customFormat="false" ht="58.5" hidden="false" customHeight="true" outlineLevel="0" collapsed="false">
      <c r="A107" s="12" t="s">
        <v>122</v>
      </c>
      <c r="B107" s="12" t="s">
        <v>692</v>
      </c>
      <c r="C107" s="12" t="s">
        <v>1025</v>
      </c>
      <c r="D107" s="12" t="s">
        <v>1026</v>
      </c>
      <c r="E107" s="12" t="s">
        <v>695</v>
      </c>
      <c r="F107" s="12" t="s">
        <v>214</v>
      </c>
      <c r="G107" s="12" t="s">
        <v>709</v>
      </c>
      <c r="H107" s="12" t="s">
        <v>1027</v>
      </c>
      <c r="I107" s="12" t="s">
        <v>710</v>
      </c>
      <c r="J107" s="12" t="s">
        <v>1028</v>
      </c>
      <c r="K107" s="12" t="s">
        <v>495</v>
      </c>
      <c r="L107" s="12" t="s">
        <v>713</v>
      </c>
      <c r="M107" s="12" t="s">
        <v>1029</v>
      </c>
      <c r="N107" s="12" t="s">
        <v>1030</v>
      </c>
      <c r="O107" s="12" t="s">
        <v>4</v>
      </c>
      <c r="P107" s="12" t="s">
        <v>9</v>
      </c>
      <c r="Q107" s="12"/>
      <c r="R107" s="12" t="s">
        <v>1031</v>
      </c>
      <c r="S107" s="12" t="s">
        <v>599</v>
      </c>
      <c r="T107" s="12" t="s">
        <v>1032</v>
      </c>
    </row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A2:A107">
    <cfRule type="containsText" priority="2" operator="containsText" aboveAverage="0" equalAverage="0" bottom="0" percent="0" rank="0" text="Core" dxfId="10">
      <formula>NOT(ISERROR(SEARCH("Core",A2)))</formula>
    </cfRule>
    <cfRule type="containsText" priority="3" operator="containsText" aboveAverage="0" equalAverage="0" bottom="0" percent="0" rank="0" text="Useful" dxfId="11">
      <formula>NOT(ISERROR(SEARCH("Useful",A2)))</formula>
    </cfRule>
  </conditionalFormatting>
  <conditionalFormatting sqref="P2:P107">
    <cfRule type="expression" priority="4" aboveAverage="0" equalAverage="0" bottom="0" percent="0" rank="0" text="" dxfId="12">
      <formula>$P2="In use"</formula>
    </cfRule>
    <cfRule type="expression" priority="5" aboveAverage="0" equalAverage="0" bottom="0" percent="0" rank="0" text="" dxfId="13">
      <formula>$P2="Partial"</formula>
    </cfRule>
    <cfRule type="expression" priority="6" aboveAverage="0" equalAverage="0" bottom="0" percent="0" rank="0" text="" dxfId="13">
      <formula>$P2="On disk (unused)"</formula>
    </cfRule>
    <cfRule type="expression" priority="7" aboveAverage="0" equalAverage="0" bottom="0" percent="0" rank="0" text="" dxfId="14">
      <formula>$P2="Verified, not ingested"</formula>
    </cfRule>
    <cfRule type="expression" priority="8" aboveAverage="0" equalAverage="0" bottom="0" percent="0" rank="0" text="" dxfId="15">
      <formula>$P2="Not yet"</formula>
    </cfRule>
    <cfRule type="expression" priority="9" aboveAverage="0" equalAverage="0" bottom="0" percent="0" rank="0" text="" dxfId="15">
      <formula>$P2="Not relevant"</formula>
    </cfRule>
  </conditionalFormatting>
  <hyperlinks>
    <hyperlink ref="M56" r:id="rId1" display="https://data.wprdc.org/dataset/delinquent-real-estate-taxes"/>
    <hyperlink ref="M57" r:id="rId2" display="https://data.wprdc.org/dataset/city-of-pittsburgh-property-tax-delinquency"/>
    <hyperlink ref="M58" r:id="rId3" display="https://data.wprdc.org/dataset/allegheny-county-mortgage-foreclosure-records"/>
    <hyperlink ref="M59" r:id="rId4" display="https://data.wprdc.org/dataset/city-owned-properties"/>
    <hyperlink ref="M60" r:id="rId5" display="https://www.mercatus.org/commuter-market-access-dataset"/>
    <hyperlink ref="M61" r:id="rId6" display="https://access.umn.edu/ao-research/aa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  <col collapsed="false" customWidth="true" hidden="false" outlineLevel="0" max="26" min="3" style="0" width="8.63"/>
  </cols>
  <sheetData>
    <row r="1" customFormat="false" ht="31.5" hidden="false" customHeight="true" outlineLevel="0" collapsed="false">
      <c r="A1" s="19" t="s">
        <v>1033</v>
      </c>
      <c r="B1" s="19"/>
    </row>
    <row r="3" customFormat="false" ht="46.5" hidden="false" customHeight="true" outlineLevel="0" collapsed="false">
      <c r="A3" s="20" t="s">
        <v>1034</v>
      </c>
      <c r="B3" s="21" t="s">
        <v>1035</v>
      </c>
    </row>
    <row r="4" customFormat="false" ht="46.5" hidden="false" customHeight="true" outlineLevel="0" collapsed="false">
      <c r="A4" s="22" t="s">
        <v>1036</v>
      </c>
      <c r="B4" s="23" t="s">
        <v>1037</v>
      </c>
    </row>
    <row r="5" customFormat="false" ht="46.5" hidden="false" customHeight="true" outlineLevel="0" collapsed="false">
      <c r="A5" s="22" t="s">
        <v>1038</v>
      </c>
      <c r="B5" s="23" t="s">
        <v>1039</v>
      </c>
    </row>
    <row r="6" customFormat="false" ht="46.5" hidden="false" customHeight="true" outlineLevel="0" collapsed="false">
      <c r="A6" s="22" t="s">
        <v>1040</v>
      </c>
      <c r="B6" s="23" t="s">
        <v>1041</v>
      </c>
    </row>
    <row r="7" customFormat="false" ht="46.5" hidden="false" customHeight="true" outlineLevel="0" collapsed="false">
      <c r="A7" s="22" t="s">
        <v>1042</v>
      </c>
      <c r="B7" s="23" t="s">
        <v>1043</v>
      </c>
    </row>
    <row r="8" customFormat="false" ht="46.5" hidden="false" customHeight="true" outlineLevel="0" collapsed="false">
      <c r="A8" s="22" t="s">
        <v>1044</v>
      </c>
      <c r="B8" s="23" t="s">
        <v>1045</v>
      </c>
    </row>
    <row r="9" customFormat="false" ht="46.5" hidden="false" customHeight="true" outlineLevel="0" collapsed="false">
      <c r="A9" s="24" t="s">
        <v>1046</v>
      </c>
      <c r="B9" s="25" t="s">
        <v>1047</v>
      </c>
    </row>
    <row r="10" customFormat="false" ht="35.05" hidden="false" customHeight="false" outlineLevel="0" collapsed="false">
      <c r="A10" s="26" t="s">
        <v>1048</v>
      </c>
      <c r="B10" s="15" t="s">
        <v>1049</v>
      </c>
    </row>
    <row r="11" customFormat="false" ht="23.85" hidden="false" customHeight="false" outlineLevel="0" collapsed="false">
      <c r="A11" s="26" t="s">
        <v>1050</v>
      </c>
      <c r="B11" s="15" t="s">
        <v>1051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7.75"/>
    <col collapsed="false" customWidth="true" hidden="false" outlineLevel="0" max="3" min="2" style="0" width="47.75"/>
    <col collapsed="false" customWidth="true" hidden="false" outlineLevel="0" max="26" min="4" style="0" width="8.63"/>
  </cols>
  <sheetData>
    <row r="1" customFormat="false" ht="27" hidden="false" customHeight="true" outlineLevel="0" collapsed="false">
      <c r="A1" s="11" t="s">
        <v>1052</v>
      </c>
      <c r="B1" s="11" t="s">
        <v>1053</v>
      </c>
      <c r="C1" s="11" t="s">
        <v>1054</v>
      </c>
    </row>
    <row r="2" customFormat="false" ht="66" hidden="false" customHeight="true" outlineLevel="0" collapsed="false">
      <c r="A2" s="27" t="s">
        <v>1055</v>
      </c>
      <c r="B2" s="27" t="s">
        <v>1056</v>
      </c>
      <c r="C2" s="27" t="s">
        <v>1057</v>
      </c>
    </row>
    <row r="3" customFormat="false" ht="66" hidden="false" customHeight="true" outlineLevel="0" collapsed="false">
      <c r="A3" s="28" t="s">
        <v>1058</v>
      </c>
      <c r="B3" s="28" t="s">
        <v>1059</v>
      </c>
      <c r="C3" s="28" t="s">
        <v>1060</v>
      </c>
    </row>
    <row r="4" customFormat="false" ht="66" hidden="false" customHeight="true" outlineLevel="0" collapsed="false">
      <c r="A4" s="28" t="s">
        <v>1061</v>
      </c>
      <c r="B4" s="28" t="s">
        <v>1062</v>
      </c>
      <c r="C4" s="28" t="s">
        <v>1063</v>
      </c>
    </row>
    <row r="5" customFormat="false" ht="66" hidden="false" customHeight="true" outlineLevel="0" collapsed="false">
      <c r="A5" s="29" t="s">
        <v>1064</v>
      </c>
      <c r="B5" s="29" t="s">
        <v>1065</v>
      </c>
      <c r="C5" s="29" t="s">
        <v>1066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8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38"/>
    <col collapsed="false" customWidth="true" hidden="false" outlineLevel="0" max="9" min="9" style="0" width="16"/>
  </cols>
  <sheetData>
    <row r="1" customFormat="false" ht="23.85" hidden="false" customHeight="false" outlineLevel="0" collapsed="false">
      <c r="A1" s="3" t="s">
        <v>1067</v>
      </c>
      <c r="B1" s="3" t="s">
        <v>1068</v>
      </c>
      <c r="C1" s="3" t="s">
        <v>1069</v>
      </c>
      <c r="D1" s="3" t="s">
        <v>1070</v>
      </c>
      <c r="E1" s="3" t="s">
        <v>1071</v>
      </c>
      <c r="F1" s="3" t="s">
        <v>1072</v>
      </c>
      <c r="G1" s="3" t="s">
        <v>1073</v>
      </c>
      <c r="H1" s="3" t="s">
        <v>1074</v>
      </c>
      <c r="I1" s="3" t="s">
        <v>1075</v>
      </c>
    </row>
    <row r="2" customFormat="false" ht="35.05" hidden="false" customHeight="false" outlineLevel="0" collapsed="false">
      <c r="A2" s="15" t="s">
        <v>1076</v>
      </c>
      <c r="B2" s="15" t="s">
        <v>1077</v>
      </c>
      <c r="C2" s="15" t="s">
        <v>39</v>
      </c>
      <c r="D2" s="15" t="n">
        <v>394</v>
      </c>
      <c r="E2" s="15" t="s">
        <v>1078</v>
      </c>
      <c r="F2" s="15" t="s">
        <v>1079</v>
      </c>
      <c r="G2" s="15" t="s">
        <v>1080</v>
      </c>
      <c r="H2" s="15" t="s">
        <v>1081</v>
      </c>
      <c r="I2" s="15" t="s">
        <v>1082</v>
      </c>
    </row>
    <row r="3" customFormat="false" ht="23.85" hidden="false" customHeight="false" outlineLevel="0" collapsed="false">
      <c r="A3" s="15" t="s">
        <v>1083</v>
      </c>
      <c r="B3" s="15" t="s">
        <v>1084</v>
      </c>
      <c r="C3" s="15" t="s">
        <v>39</v>
      </c>
      <c r="D3" s="15" t="n">
        <v>394</v>
      </c>
      <c r="E3" s="15" t="s">
        <v>1085</v>
      </c>
      <c r="F3" s="15" t="s">
        <v>1086</v>
      </c>
      <c r="G3" s="15" t="s">
        <v>1087</v>
      </c>
      <c r="H3" s="15" t="s">
        <v>1088</v>
      </c>
      <c r="I3" s="15" t="s">
        <v>1082</v>
      </c>
    </row>
    <row r="4" customFormat="false" ht="23.85" hidden="false" customHeight="false" outlineLevel="0" collapsed="false">
      <c r="A4" s="15" t="s">
        <v>1089</v>
      </c>
      <c r="B4" s="15" t="s">
        <v>470</v>
      </c>
      <c r="C4" s="15" t="s">
        <v>39</v>
      </c>
      <c r="D4" s="15" t="n">
        <v>394</v>
      </c>
      <c r="E4" s="15" t="s">
        <v>1090</v>
      </c>
      <c r="F4" s="15" t="s">
        <v>1091</v>
      </c>
      <c r="G4" s="15" t="s">
        <v>1092</v>
      </c>
      <c r="H4" s="15" t="s">
        <v>1093</v>
      </c>
      <c r="I4" s="15" t="s">
        <v>1082</v>
      </c>
    </row>
    <row r="5" customFormat="false" ht="23.85" hidden="false" customHeight="false" outlineLevel="0" collapsed="false">
      <c r="A5" s="15" t="s">
        <v>1094</v>
      </c>
      <c r="B5" s="15" t="s">
        <v>703</v>
      </c>
      <c r="C5" s="15" t="s">
        <v>1095</v>
      </c>
      <c r="D5" s="15" t="n">
        <v>394</v>
      </c>
      <c r="E5" s="15" t="s">
        <v>1096</v>
      </c>
      <c r="F5" s="15" t="s">
        <v>1097</v>
      </c>
      <c r="G5" s="15" t="s">
        <v>1098</v>
      </c>
      <c r="H5" s="15" t="s">
        <v>1099</v>
      </c>
      <c r="I5" s="15" t="s">
        <v>1100</v>
      </c>
    </row>
    <row r="6" customFormat="false" ht="23.85" hidden="false" customHeight="false" outlineLevel="0" collapsed="false">
      <c r="A6" s="15" t="s">
        <v>1101</v>
      </c>
      <c r="B6" s="15" t="s">
        <v>1102</v>
      </c>
      <c r="C6" s="15" t="s">
        <v>1103</v>
      </c>
      <c r="D6" s="15" t="n">
        <v>394</v>
      </c>
      <c r="E6" s="15" t="s">
        <v>1104</v>
      </c>
      <c r="F6" s="15" t="s">
        <v>1105</v>
      </c>
      <c r="G6" s="15" t="s">
        <v>1106</v>
      </c>
      <c r="H6" s="15" t="s">
        <v>1107</v>
      </c>
      <c r="I6" s="15" t="s">
        <v>1100</v>
      </c>
    </row>
    <row r="7" customFormat="false" ht="23.85" hidden="false" customHeight="false" outlineLevel="0" collapsed="false">
      <c r="A7" s="15" t="s">
        <v>1108</v>
      </c>
      <c r="B7" s="15" t="s">
        <v>272</v>
      </c>
      <c r="C7" s="15" t="s">
        <v>1109</v>
      </c>
      <c r="D7" s="15" t="s">
        <v>274</v>
      </c>
      <c r="E7" s="15" t="s">
        <v>1110</v>
      </c>
      <c r="F7" s="15" t="s">
        <v>1111</v>
      </c>
      <c r="G7" s="15" t="s">
        <v>1112</v>
      </c>
      <c r="H7" s="15" t="s">
        <v>1113</v>
      </c>
      <c r="I7" s="15" t="s">
        <v>1100</v>
      </c>
    </row>
    <row r="8" customFormat="false" ht="15" hidden="false" customHeight="false" outlineLevel="0" collapsed="false">
      <c r="A8" s="15" t="s">
        <v>1114</v>
      </c>
      <c r="B8" s="15" t="s">
        <v>1115</v>
      </c>
      <c r="C8" s="15" t="s">
        <v>1116</v>
      </c>
      <c r="D8" s="15" t="n">
        <v>394</v>
      </c>
      <c r="E8" s="15" t="s">
        <v>1117</v>
      </c>
      <c r="F8" s="15" t="s">
        <v>1118</v>
      </c>
      <c r="G8" s="15" t="s">
        <v>1119</v>
      </c>
      <c r="H8" s="15" t="s">
        <v>1120</v>
      </c>
      <c r="I8" s="15" t="s">
        <v>1100</v>
      </c>
    </row>
    <row r="9" customFormat="false" ht="23.85" hidden="false" customHeight="false" outlineLevel="0" collapsed="false">
      <c r="A9" s="15" t="s">
        <v>1121</v>
      </c>
      <c r="B9" s="15" t="s">
        <v>101</v>
      </c>
      <c r="C9" s="15" t="s">
        <v>1116</v>
      </c>
      <c r="D9" s="15" t="n">
        <v>394</v>
      </c>
      <c r="E9" s="15" t="s">
        <v>1122</v>
      </c>
      <c r="F9" s="15" t="s">
        <v>1123</v>
      </c>
      <c r="G9" s="15" t="s">
        <v>1124</v>
      </c>
      <c r="H9" s="15" t="s">
        <v>1125</v>
      </c>
      <c r="I9" s="15" t="s">
        <v>1100</v>
      </c>
    </row>
    <row r="10" customFormat="false" ht="23.85" hidden="false" customHeight="false" outlineLevel="0" collapsed="false">
      <c r="A10" s="15" t="s">
        <v>1126</v>
      </c>
      <c r="B10" s="15" t="s">
        <v>334</v>
      </c>
      <c r="C10" s="15" t="s">
        <v>1127</v>
      </c>
      <c r="D10" s="15" t="n">
        <v>394</v>
      </c>
      <c r="E10" s="15" t="s">
        <v>1128</v>
      </c>
      <c r="F10" s="15" t="s">
        <v>1129</v>
      </c>
      <c r="G10" s="15" t="s">
        <v>1130</v>
      </c>
      <c r="H10" s="15" t="s">
        <v>1131</v>
      </c>
      <c r="I10" s="15" t="s">
        <v>1100</v>
      </c>
    </row>
    <row r="11" customFormat="false" ht="35.05" hidden="false" customHeight="false" outlineLevel="0" collapsed="false">
      <c r="A11" s="15" t="s">
        <v>1132</v>
      </c>
      <c r="B11" s="15" t="s">
        <v>1133</v>
      </c>
      <c r="C11" s="15" t="s">
        <v>1134</v>
      </c>
      <c r="D11" s="15" t="n">
        <v>394</v>
      </c>
      <c r="E11" s="15" t="s">
        <v>1135</v>
      </c>
      <c r="F11" s="15" t="s">
        <v>1136</v>
      </c>
      <c r="G11" s="15" t="s">
        <v>1137</v>
      </c>
      <c r="H11" s="15" t="s">
        <v>1138</v>
      </c>
      <c r="I11" s="15" t="s">
        <v>1100</v>
      </c>
    </row>
    <row r="12" customFormat="false" ht="23.85" hidden="false" customHeight="false" outlineLevel="0" collapsed="false">
      <c r="A12" s="15" t="s">
        <v>1139</v>
      </c>
      <c r="B12" s="15" t="s">
        <v>1140</v>
      </c>
      <c r="C12" s="15" t="s">
        <v>39</v>
      </c>
      <c r="D12" s="15" t="s">
        <v>1141</v>
      </c>
      <c r="E12" s="15" t="s">
        <v>1142</v>
      </c>
      <c r="F12" s="15" t="s">
        <v>1143</v>
      </c>
      <c r="G12" s="15" t="s">
        <v>1144</v>
      </c>
      <c r="H12" s="15" t="s">
        <v>1145</v>
      </c>
      <c r="I12" s="15" t="s">
        <v>1082</v>
      </c>
    </row>
    <row r="13" customFormat="false" ht="23.85" hidden="false" customHeight="false" outlineLevel="0" collapsed="false">
      <c r="A13" s="15" t="s">
        <v>1146</v>
      </c>
      <c r="B13" s="15" t="s">
        <v>1147</v>
      </c>
      <c r="C13" s="15" t="s">
        <v>39</v>
      </c>
      <c r="D13" s="15" t="n">
        <v>244</v>
      </c>
      <c r="E13" s="15" t="s">
        <v>1148</v>
      </c>
      <c r="F13" s="15" t="s">
        <v>1149</v>
      </c>
      <c r="G13" s="15" t="s">
        <v>154</v>
      </c>
      <c r="H13" s="15" t="s">
        <v>1150</v>
      </c>
      <c r="I13" s="15" t="s">
        <v>1082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2026-09-26T21:57:02Z</dcterms:created>
  <dc:creator>openpyxl</dc:creator>
  <dc:description/>
  <dc:language>en-US</dc:language>
  <cp:lastModifiedBy/>
  <dcterms:modified xsi:type="dcterms:W3CDTF">2026-09-26T21:57:02Z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